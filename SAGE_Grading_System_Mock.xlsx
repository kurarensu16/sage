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C Gabriel\Downloads\"/>
    </mc:Choice>
  </mc:AlternateContent>
  <xr:revisionPtr revIDLastSave="0" documentId="13_ncr:1_{3CB3C9C4-C9F6-4567-B89C-9B4861776FA5}" xr6:coauthVersionLast="36" xr6:coauthVersionMax="36" xr10:uidLastSave="{00000000-0000-0000-0000-000000000000}"/>
  <bookViews>
    <workbookView xWindow="0" yWindow="0" windowWidth="23040" windowHeight="9120" xr2:uid="{00000000-000D-0000-FFFF-FFFF00000000}"/>
  </bookViews>
  <sheets>
    <sheet name="Subject Profile" sheetId="1" r:id="rId1"/>
    <sheet name="Record Sheet" sheetId="2" r:id="rId2"/>
    <sheet name="Report of Grades" sheetId="3" r:id="rId3"/>
  </sheets>
  <calcPr calcId="191029"/>
</workbook>
</file>

<file path=xl/calcChain.xml><?xml version="1.0" encoding="utf-8"?>
<calcChain xmlns="http://schemas.openxmlformats.org/spreadsheetml/2006/main">
  <c r="J10" i="2" l="1"/>
  <c r="K10" i="2" s="1"/>
  <c r="J8" i="2"/>
  <c r="N47" i="3"/>
  <c r="M47" i="3"/>
  <c r="L47" i="3"/>
  <c r="I47" i="3"/>
  <c r="G47" i="3"/>
  <c r="F47" i="3"/>
  <c r="E47" i="3"/>
  <c r="B47" i="3"/>
  <c r="N46" i="3"/>
  <c r="M46" i="3"/>
  <c r="L46" i="3"/>
  <c r="I46" i="3"/>
  <c r="G46" i="3"/>
  <c r="F46" i="3"/>
  <c r="E46" i="3"/>
  <c r="B46" i="3"/>
  <c r="N45" i="3"/>
  <c r="M45" i="3"/>
  <c r="L45" i="3"/>
  <c r="I45" i="3"/>
  <c r="G45" i="3"/>
  <c r="F45" i="3"/>
  <c r="E45" i="3"/>
  <c r="B45" i="3"/>
  <c r="N44" i="3"/>
  <c r="M44" i="3"/>
  <c r="L44" i="3"/>
  <c r="I44" i="3"/>
  <c r="G44" i="3"/>
  <c r="F44" i="3"/>
  <c r="E44" i="3"/>
  <c r="B44" i="3"/>
  <c r="N43" i="3"/>
  <c r="M43" i="3"/>
  <c r="L43" i="3"/>
  <c r="I43" i="3"/>
  <c r="G43" i="3"/>
  <c r="F43" i="3"/>
  <c r="E43" i="3"/>
  <c r="B43" i="3"/>
  <c r="N42" i="3"/>
  <c r="M42" i="3"/>
  <c r="L42" i="3"/>
  <c r="I42" i="3"/>
  <c r="G42" i="3"/>
  <c r="F42" i="3"/>
  <c r="E42" i="3"/>
  <c r="B42" i="3"/>
  <c r="N41" i="3"/>
  <c r="M41" i="3"/>
  <c r="L41" i="3"/>
  <c r="I41" i="3"/>
  <c r="G41" i="3"/>
  <c r="F41" i="3"/>
  <c r="E41" i="3"/>
  <c r="B41" i="3"/>
  <c r="N40" i="3"/>
  <c r="M40" i="3"/>
  <c r="L40" i="3"/>
  <c r="I40" i="3"/>
  <c r="G40" i="3"/>
  <c r="F40" i="3"/>
  <c r="E40" i="3"/>
  <c r="B40" i="3"/>
  <c r="N39" i="3"/>
  <c r="M39" i="3"/>
  <c r="L39" i="3"/>
  <c r="I39" i="3"/>
  <c r="G39" i="3"/>
  <c r="F39" i="3"/>
  <c r="E39" i="3"/>
  <c r="B39" i="3"/>
  <c r="N38" i="3"/>
  <c r="M38" i="3"/>
  <c r="L38" i="3"/>
  <c r="I38" i="3"/>
  <c r="G38" i="3"/>
  <c r="F38" i="3"/>
  <c r="E38" i="3"/>
  <c r="B38" i="3"/>
  <c r="N37" i="3"/>
  <c r="M37" i="3"/>
  <c r="L37" i="3"/>
  <c r="I37" i="3"/>
  <c r="G37" i="3"/>
  <c r="F37" i="3"/>
  <c r="E37" i="3"/>
  <c r="B37" i="3"/>
  <c r="N36" i="3"/>
  <c r="M36" i="3"/>
  <c r="L36" i="3"/>
  <c r="I36" i="3"/>
  <c r="G36" i="3"/>
  <c r="F36" i="3"/>
  <c r="E36" i="3"/>
  <c r="B36" i="3"/>
  <c r="N35" i="3"/>
  <c r="M35" i="3"/>
  <c r="L35" i="3"/>
  <c r="I35" i="3"/>
  <c r="G35" i="3"/>
  <c r="F35" i="3"/>
  <c r="E35" i="3"/>
  <c r="B35" i="3"/>
  <c r="N34" i="3"/>
  <c r="M34" i="3"/>
  <c r="L34" i="3"/>
  <c r="I34" i="3"/>
  <c r="G34" i="3"/>
  <c r="F34" i="3"/>
  <c r="E34" i="3"/>
  <c r="B34" i="3"/>
  <c r="N33" i="3"/>
  <c r="M33" i="3"/>
  <c r="L33" i="3"/>
  <c r="I33" i="3"/>
  <c r="G33" i="3"/>
  <c r="F33" i="3"/>
  <c r="E33" i="3"/>
  <c r="B33" i="3"/>
  <c r="N32" i="3"/>
  <c r="M32" i="3"/>
  <c r="L32" i="3"/>
  <c r="I32" i="3"/>
  <c r="G32" i="3"/>
  <c r="F32" i="3"/>
  <c r="E32" i="3"/>
  <c r="B32" i="3"/>
  <c r="N31" i="3"/>
  <c r="M31" i="3"/>
  <c r="L31" i="3"/>
  <c r="I31" i="3"/>
  <c r="G31" i="3"/>
  <c r="F31" i="3"/>
  <c r="E31" i="3"/>
  <c r="B31" i="3"/>
  <c r="N30" i="3"/>
  <c r="M30" i="3"/>
  <c r="L30" i="3"/>
  <c r="I30" i="3"/>
  <c r="G30" i="3"/>
  <c r="F30" i="3"/>
  <c r="E30" i="3"/>
  <c r="B30" i="3"/>
  <c r="N29" i="3"/>
  <c r="M29" i="3"/>
  <c r="L29" i="3"/>
  <c r="I29" i="3"/>
  <c r="G29" i="3"/>
  <c r="F29" i="3"/>
  <c r="E29" i="3"/>
  <c r="B29" i="3"/>
  <c r="N28" i="3"/>
  <c r="M28" i="3"/>
  <c r="L28" i="3"/>
  <c r="I28" i="3"/>
  <c r="G28" i="3"/>
  <c r="F28" i="3"/>
  <c r="E28" i="3"/>
  <c r="B28" i="3"/>
  <c r="N27" i="3"/>
  <c r="M27" i="3"/>
  <c r="L27" i="3"/>
  <c r="I27" i="3"/>
  <c r="G27" i="3"/>
  <c r="F27" i="3"/>
  <c r="E27" i="3"/>
  <c r="B27" i="3"/>
  <c r="N26" i="3"/>
  <c r="M26" i="3"/>
  <c r="L26" i="3"/>
  <c r="I26" i="3"/>
  <c r="G26" i="3"/>
  <c r="F26" i="3"/>
  <c r="E26" i="3"/>
  <c r="B26" i="3"/>
  <c r="N25" i="3"/>
  <c r="M25" i="3"/>
  <c r="L25" i="3"/>
  <c r="I25" i="3"/>
  <c r="G25" i="3"/>
  <c r="F25" i="3"/>
  <c r="E25" i="3"/>
  <c r="B25" i="3"/>
  <c r="N24" i="3"/>
  <c r="M24" i="3"/>
  <c r="L24" i="3"/>
  <c r="I24" i="3"/>
  <c r="G24" i="3"/>
  <c r="F24" i="3"/>
  <c r="E24" i="3"/>
  <c r="B24" i="3"/>
  <c r="N23" i="3"/>
  <c r="M23" i="3"/>
  <c r="L23" i="3"/>
  <c r="I23" i="3"/>
  <c r="G23" i="3"/>
  <c r="F23" i="3"/>
  <c r="E23" i="3"/>
  <c r="B23" i="3"/>
  <c r="N22" i="3"/>
  <c r="M22" i="3"/>
  <c r="L22" i="3"/>
  <c r="I22" i="3"/>
  <c r="G22" i="3"/>
  <c r="F22" i="3"/>
  <c r="E22" i="3"/>
  <c r="B22" i="3"/>
  <c r="N21" i="3"/>
  <c r="M21" i="3"/>
  <c r="L21" i="3"/>
  <c r="I21" i="3"/>
  <c r="G21" i="3"/>
  <c r="F21" i="3"/>
  <c r="E21" i="3"/>
  <c r="B21" i="3"/>
  <c r="N20" i="3"/>
  <c r="M20" i="3"/>
  <c r="L20" i="3"/>
  <c r="I20" i="3"/>
  <c r="B20" i="3"/>
  <c r="N19" i="3"/>
  <c r="M19" i="3"/>
  <c r="L19" i="3"/>
  <c r="I19" i="3"/>
  <c r="B19" i="3"/>
  <c r="N18" i="3"/>
  <c r="M18" i="3"/>
  <c r="L18" i="3"/>
  <c r="I18" i="3"/>
  <c r="B18" i="3"/>
  <c r="N15" i="3"/>
  <c r="I14" i="3"/>
  <c r="E14" i="3"/>
  <c r="M13" i="3"/>
  <c r="M12" i="3"/>
  <c r="E12" i="3"/>
  <c r="L10" i="3"/>
  <c r="L8" i="3"/>
  <c r="L6" i="3"/>
  <c r="BD68" i="2"/>
  <c r="BC68" i="2"/>
  <c r="BB68" i="2"/>
  <c r="BA68" i="2"/>
  <c r="AZ68" i="2"/>
  <c r="AY68" i="2"/>
  <c r="AV68" i="2"/>
  <c r="AU68" i="2"/>
  <c r="AN68" i="2"/>
  <c r="AM68" i="2"/>
  <c r="AJ68" i="2"/>
  <c r="AI68" i="2"/>
  <c r="AB68" i="2"/>
  <c r="AA68" i="2"/>
  <c r="Z68" i="2"/>
  <c r="W68" i="2"/>
  <c r="V68" i="2"/>
  <c r="O68" i="2"/>
  <c r="N68" i="2"/>
  <c r="K68" i="2"/>
  <c r="J68" i="2"/>
  <c r="BD67" i="2"/>
  <c r="BC67" i="2"/>
  <c r="BB67" i="2"/>
  <c r="BA67" i="2"/>
  <c r="AZ67" i="2"/>
  <c r="AY67" i="2"/>
  <c r="AV67" i="2"/>
  <c r="AU67" i="2"/>
  <c r="AN67" i="2"/>
  <c r="AM67" i="2"/>
  <c r="AJ67" i="2"/>
  <c r="AI67" i="2"/>
  <c r="AB67" i="2"/>
  <c r="AA67" i="2"/>
  <c r="Z67" i="2"/>
  <c r="W67" i="2"/>
  <c r="V67" i="2"/>
  <c r="O67" i="2"/>
  <c r="N67" i="2"/>
  <c r="K67" i="2"/>
  <c r="J67" i="2"/>
  <c r="BD66" i="2"/>
  <c r="BC66" i="2"/>
  <c r="BB66" i="2"/>
  <c r="BA66" i="2"/>
  <c r="AZ66" i="2"/>
  <c r="AY66" i="2"/>
  <c r="AV66" i="2"/>
  <c r="AU66" i="2"/>
  <c r="AN66" i="2"/>
  <c r="AM66" i="2"/>
  <c r="AJ66" i="2"/>
  <c r="AI66" i="2"/>
  <c r="AB66" i="2"/>
  <c r="AA66" i="2"/>
  <c r="Z66" i="2"/>
  <c r="W66" i="2"/>
  <c r="V66" i="2"/>
  <c r="O66" i="2"/>
  <c r="N66" i="2"/>
  <c r="K66" i="2"/>
  <c r="J66" i="2"/>
  <c r="BD65" i="2"/>
  <c r="BC65" i="2"/>
  <c r="BB65" i="2"/>
  <c r="BA65" i="2"/>
  <c r="AZ65" i="2"/>
  <c r="AY65" i="2"/>
  <c r="AV65" i="2"/>
  <c r="AU65" i="2"/>
  <c r="AN65" i="2"/>
  <c r="AM65" i="2"/>
  <c r="AJ65" i="2"/>
  <c r="AI65" i="2"/>
  <c r="AB65" i="2"/>
  <c r="AA65" i="2"/>
  <c r="Z65" i="2"/>
  <c r="W65" i="2"/>
  <c r="V65" i="2"/>
  <c r="O65" i="2"/>
  <c r="N65" i="2"/>
  <c r="K65" i="2"/>
  <c r="J65" i="2"/>
  <c r="BD64" i="2"/>
  <c r="BC64" i="2"/>
  <c r="BB64" i="2"/>
  <c r="BA64" i="2"/>
  <c r="AZ64" i="2"/>
  <c r="AY64" i="2"/>
  <c r="AV64" i="2"/>
  <c r="AU64" i="2"/>
  <c r="AN64" i="2"/>
  <c r="AM64" i="2"/>
  <c r="AJ64" i="2"/>
  <c r="AI64" i="2"/>
  <c r="AB64" i="2"/>
  <c r="AA64" i="2"/>
  <c r="Z64" i="2"/>
  <c r="W64" i="2"/>
  <c r="V64" i="2"/>
  <c r="O64" i="2"/>
  <c r="N64" i="2"/>
  <c r="K64" i="2"/>
  <c r="J64" i="2"/>
  <c r="BD63" i="2"/>
  <c r="BC63" i="2"/>
  <c r="BB63" i="2"/>
  <c r="BA63" i="2"/>
  <c r="AZ63" i="2"/>
  <c r="AY63" i="2"/>
  <c r="AV63" i="2"/>
  <c r="AU63" i="2"/>
  <c r="AN63" i="2"/>
  <c r="AM63" i="2"/>
  <c r="AJ63" i="2"/>
  <c r="AI63" i="2"/>
  <c r="AB63" i="2"/>
  <c r="AA63" i="2"/>
  <c r="Z63" i="2"/>
  <c r="W63" i="2"/>
  <c r="V63" i="2"/>
  <c r="O63" i="2"/>
  <c r="N63" i="2"/>
  <c r="K63" i="2"/>
  <c r="J63" i="2"/>
  <c r="BD62" i="2"/>
  <c r="BC62" i="2"/>
  <c r="BB62" i="2"/>
  <c r="BA62" i="2"/>
  <c r="AZ62" i="2"/>
  <c r="AY62" i="2"/>
  <c r="AV62" i="2"/>
  <c r="AU62" i="2"/>
  <c r="AN62" i="2"/>
  <c r="AM62" i="2"/>
  <c r="AJ62" i="2"/>
  <c r="AI62" i="2"/>
  <c r="AB62" i="2"/>
  <c r="AA62" i="2"/>
  <c r="Z62" i="2"/>
  <c r="W62" i="2"/>
  <c r="V62" i="2"/>
  <c r="O62" i="2"/>
  <c r="N62" i="2"/>
  <c r="K62" i="2"/>
  <c r="J62" i="2"/>
  <c r="BD61" i="2"/>
  <c r="BC61" i="2"/>
  <c r="BB61" i="2"/>
  <c r="BA61" i="2"/>
  <c r="AZ61" i="2"/>
  <c r="AY61" i="2"/>
  <c r="AV61" i="2"/>
  <c r="AU61" i="2"/>
  <c r="AN61" i="2"/>
  <c r="AM61" i="2"/>
  <c r="AJ61" i="2"/>
  <c r="AI61" i="2"/>
  <c r="AB61" i="2"/>
  <c r="AA61" i="2"/>
  <c r="Z61" i="2"/>
  <c r="W61" i="2"/>
  <c r="V61" i="2"/>
  <c r="O61" i="2"/>
  <c r="N61" i="2"/>
  <c r="K61" i="2"/>
  <c r="J61" i="2"/>
  <c r="BD60" i="2"/>
  <c r="BC60" i="2"/>
  <c r="BB60" i="2"/>
  <c r="BA60" i="2"/>
  <c r="AZ60" i="2"/>
  <c r="AY60" i="2"/>
  <c r="AV60" i="2"/>
  <c r="AU60" i="2"/>
  <c r="AN60" i="2"/>
  <c r="AM60" i="2"/>
  <c r="AJ60" i="2"/>
  <c r="AI60" i="2"/>
  <c r="AB60" i="2"/>
  <c r="AA60" i="2"/>
  <c r="Z60" i="2"/>
  <c r="W60" i="2"/>
  <c r="V60" i="2"/>
  <c r="O60" i="2"/>
  <c r="N60" i="2"/>
  <c r="K60" i="2"/>
  <c r="J60" i="2"/>
  <c r="BD59" i="2"/>
  <c r="BC59" i="2"/>
  <c r="BB59" i="2"/>
  <c r="BA59" i="2"/>
  <c r="AZ59" i="2"/>
  <c r="AY59" i="2"/>
  <c r="AV59" i="2"/>
  <c r="AU59" i="2"/>
  <c r="AN59" i="2"/>
  <c r="AM59" i="2"/>
  <c r="AJ59" i="2"/>
  <c r="AI59" i="2"/>
  <c r="AB59" i="2"/>
  <c r="AA59" i="2"/>
  <c r="Z59" i="2"/>
  <c r="W59" i="2"/>
  <c r="V59" i="2"/>
  <c r="O59" i="2"/>
  <c r="N59" i="2"/>
  <c r="K59" i="2"/>
  <c r="J59" i="2"/>
  <c r="BD58" i="2"/>
  <c r="BC58" i="2"/>
  <c r="BB58" i="2"/>
  <c r="BA58" i="2"/>
  <c r="AZ58" i="2"/>
  <c r="AY58" i="2"/>
  <c r="AV58" i="2"/>
  <c r="AU58" i="2"/>
  <c r="AN58" i="2"/>
  <c r="AM58" i="2"/>
  <c r="AJ58" i="2"/>
  <c r="AI58" i="2"/>
  <c r="AB58" i="2"/>
  <c r="AA58" i="2"/>
  <c r="Z58" i="2"/>
  <c r="W58" i="2"/>
  <c r="V58" i="2"/>
  <c r="O58" i="2"/>
  <c r="N58" i="2"/>
  <c r="K58" i="2"/>
  <c r="J58" i="2"/>
  <c r="BD57" i="2"/>
  <c r="BC57" i="2"/>
  <c r="BB57" i="2"/>
  <c r="BA57" i="2"/>
  <c r="AZ57" i="2"/>
  <c r="AY57" i="2"/>
  <c r="AV57" i="2"/>
  <c r="AU57" i="2"/>
  <c r="AN57" i="2"/>
  <c r="AM57" i="2"/>
  <c r="AJ57" i="2"/>
  <c r="AI57" i="2"/>
  <c r="AB57" i="2"/>
  <c r="AA57" i="2"/>
  <c r="Z57" i="2"/>
  <c r="W57" i="2"/>
  <c r="V57" i="2"/>
  <c r="O57" i="2"/>
  <c r="N57" i="2"/>
  <c r="K57" i="2"/>
  <c r="J57" i="2"/>
  <c r="BD56" i="2"/>
  <c r="BC56" i="2"/>
  <c r="BB56" i="2"/>
  <c r="BA56" i="2"/>
  <c r="AZ56" i="2"/>
  <c r="AY56" i="2"/>
  <c r="AV56" i="2"/>
  <c r="AU56" i="2"/>
  <c r="AN56" i="2"/>
  <c r="AM56" i="2"/>
  <c r="AJ56" i="2"/>
  <c r="AI56" i="2"/>
  <c r="AB56" i="2"/>
  <c r="AA56" i="2"/>
  <c r="Z56" i="2"/>
  <c r="W56" i="2"/>
  <c r="V56" i="2"/>
  <c r="O56" i="2"/>
  <c r="N56" i="2"/>
  <c r="K56" i="2"/>
  <c r="J56" i="2"/>
  <c r="BD55" i="2"/>
  <c r="BC55" i="2"/>
  <c r="BB55" i="2"/>
  <c r="BA55" i="2"/>
  <c r="AZ55" i="2"/>
  <c r="AY55" i="2"/>
  <c r="AV55" i="2"/>
  <c r="AU55" i="2"/>
  <c r="AN55" i="2"/>
  <c r="AM55" i="2"/>
  <c r="AJ55" i="2"/>
  <c r="AI55" i="2"/>
  <c r="AB55" i="2"/>
  <c r="AA55" i="2"/>
  <c r="Z55" i="2"/>
  <c r="W55" i="2"/>
  <c r="V55" i="2"/>
  <c r="O55" i="2"/>
  <c r="N55" i="2"/>
  <c r="K55" i="2"/>
  <c r="J55" i="2"/>
  <c r="BD54" i="2"/>
  <c r="BC54" i="2"/>
  <c r="BB54" i="2"/>
  <c r="BA54" i="2"/>
  <c r="AZ54" i="2"/>
  <c r="AY54" i="2"/>
  <c r="AV54" i="2"/>
  <c r="AU54" i="2"/>
  <c r="AN54" i="2"/>
  <c r="AM54" i="2"/>
  <c r="AJ54" i="2"/>
  <c r="AI54" i="2"/>
  <c r="AB54" i="2"/>
  <c r="AA54" i="2"/>
  <c r="Z54" i="2"/>
  <c r="W54" i="2"/>
  <c r="V54" i="2"/>
  <c r="O54" i="2"/>
  <c r="N54" i="2"/>
  <c r="K54" i="2"/>
  <c r="J54" i="2"/>
  <c r="BD53" i="2"/>
  <c r="BC53" i="2"/>
  <c r="BB53" i="2"/>
  <c r="BA53" i="2"/>
  <c r="AZ53" i="2"/>
  <c r="AY53" i="2"/>
  <c r="AV53" i="2"/>
  <c r="AU53" i="2"/>
  <c r="AN53" i="2"/>
  <c r="AM53" i="2"/>
  <c r="AJ53" i="2"/>
  <c r="AI53" i="2"/>
  <c r="AB53" i="2"/>
  <c r="AA53" i="2"/>
  <c r="Z53" i="2"/>
  <c r="W53" i="2"/>
  <c r="V53" i="2"/>
  <c r="O53" i="2"/>
  <c r="N53" i="2"/>
  <c r="K53" i="2"/>
  <c r="J53" i="2"/>
  <c r="BD52" i="2"/>
  <c r="BC52" i="2"/>
  <c r="BB52" i="2"/>
  <c r="BA52" i="2"/>
  <c r="AZ52" i="2"/>
  <c r="AY52" i="2"/>
  <c r="AV52" i="2"/>
  <c r="AU52" i="2"/>
  <c r="AN52" i="2"/>
  <c r="AM52" i="2"/>
  <c r="AJ52" i="2"/>
  <c r="AI52" i="2"/>
  <c r="AB52" i="2"/>
  <c r="AA52" i="2"/>
  <c r="Z52" i="2"/>
  <c r="W52" i="2"/>
  <c r="V52" i="2"/>
  <c r="O52" i="2"/>
  <c r="N52" i="2"/>
  <c r="K52" i="2"/>
  <c r="J52" i="2"/>
  <c r="BD51" i="2"/>
  <c r="BC51" i="2"/>
  <c r="BB51" i="2"/>
  <c r="BA51" i="2"/>
  <c r="AZ51" i="2"/>
  <c r="AY51" i="2"/>
  <c r="AV51" i="2"/>
  <c r="AU51" i="2"/>
  <c r="AN51" i="2"/>
  <c r="AM51" i="2"/>
  <c r="AJ51" i="2"/>
  <c r="AI51" i="2"/>
  <c r="AB51" i="2"/>
  <c r="AA51" i="2"/>
  <c r="Z51" i="2"/>
  <c r="W51" i="2"/>
  <c r="V51" i="2"/>
  <c r="O51" i="2"/>
  <c r="N51" i="2"/>
  <c r="K51" i="2"/>
  <c r="J51" i="2"/>
  <c r="BD50" i="2"/>
  <c r="BC50" i="2"/>
  <c r="BB50" i="2"/>
  <c r="BA50" i="2"/>
  <c r="AZ50" i="2"/>
  <c r="AY50" i="2"/>
  <c r="AV50" i="2"/>
  <c r="AU50" i="2"/>
  <c r="AN50" i="2"/>
  <c r="AM50" i="2"/>
  <c r="AJ50" i="2"/>
  <c r="AI50" i="2"/>
  <c r="AB50" i="2"/>
  <c r="AA50" i="2"/>
  <c r="Z50" i="2"/>
  <c r="W50" i="2"/>
  <c r="V50" i="2"/>
  <c r="O50" i="2"/>
  <c r="N50" i="2"/>
  <c r="K50" i="2"/>
  <c r="J50" i="2"/>
  <c r="BD49" i="2"/>
  <c r="BC49" i="2"/>
  <c r="BB49" i="2"/>
  <c r="BA49" i="2"/>
  <c r="AZ49" i="2"/>
  <c r="AY49" i="2"/>
  <c r="AV49" i="2"/>
  <c r="AU49" i="2"/>
  <c r="AN49" i="2"/>
  <c r="AM49" i="2"/>
  <c r="AJ49" i="2"/>
  <c r="AI49" i="2"/>
  <c r="AB49" i="2"/>
  <c r="AA49" i="2"/>
  <c r="Z49" i="2"/>
  <c r="W49" i="2"/>
  <c r="V49" i="2"/>
  <c r="O49" i="2"/>
  <c r="N49" i="2"/>
  <c r="K49" i="2"/>
  <c r="J49" i="2"/>
  <c r="BD48" i="2"/>
  <c r="BC48" i="2"/>
  <c r="BB48" i="2"/>
  <c r="BA48" i="2"/>
  <c r="AZ48" i="2"/>
  <c r="AY48" i="2"/>
  <c r="AV48" i="2"/>
  <c r="AU48" i="2"/>
  <c r="AN48" i="2"/>
  <c r="AM48" i="2"/>
  <c r="AJ48" i="2"/>
  <c r="AI48" i="2"/>
  <c r="AB48" i="2"/>
  <c r="AA48" i="2"/>
  <c r="Z48" i="2"/>
  <c r="W48" i="2"/>
  <c r="V48" i="2"/>
  <c r="O48" i="2"/>
  <c r="N48" i="2"/>
  <c r="K48" i="2"/>
  <c r="J48" i="2"/>
  <c r="BD47" i="2"/>
  <c r="BC47" i="2"/>
  <c r="BB47" i="2"/>
  <c r="BA47" i="2"/>
  <c r="AZ47" i="2"/>
  <c r="AY47" i="2"/>
  <c r="AV47" i="2"/>
  <c r="AU47" i="2"/>
  <c r="AN47" i="2"/>
  <c r="AM47" i="2"/>
  <c r="AJ47" i="2"/>
  <c r="AI47" i="2"/>
  <c r="AB47" i="2"/>
  <c r="AA47" i="2"/>
  <c r="Z47" i="2"/>
  <c r="W47" i="2"/>
  <c r="V47" i="2"/>
  <c r="O47" i="2"/>
  <c r="N47" i="2"/>
  <c r="K47" i="2"/>
  <c r="J47" i="2"/>
  <c r="BD46" i="2"/>
  <c r="BC46" i="2"/>
  <c r="BB46" i="2"/>
  <c r="BA46" i="2"/>
  <c r="AZ46" i="2"/>
  <c r="AY46" i="2"/>
  <c r="AV46" i="2"/>
  <c r="AU46" i="2"/>
  <c r="AN46" i="2"/>
  <c r="AM46" i="2"/>
  <c r="AJ46" i="2"/>
  <c r="AI46" i="2"/>
  <c r="AB46" i="2"/>
  <c r="AA46" i="2"/>
  <c r="Z46" i="2"/>
  <c r="W46" i="2"/>
  <c r="V46" i="2"/>
  <c r="O46" i="2"/>
  <c r="N46" i="2"/>
  <c r="K46" i="2"/>
  <c r="J46" i="2"/>
  <c r="BD45" i="2"/>
  <c r="BC45" i="2"/>
  <c r="BB45" i="2"/>
  <c r="BA45" i="2"/>
  <c r="AZ45" i="2"/>
  <c r="AY45" i="2"/>
  <c r="AV45" i="2"/>
  <c r="AU45" i="2"/>
  <c r="AN45" i="2"/>
  <c r="AM45" i="2"/>
  <c r="AJ45" i="2"/>
  <c r="AI45" i="2"/>
  <c r="AB45" i="2"/>
  <c r="AA45" i="2"/>
  <c r="Z45" i="2"/>
  <c r="W45" i="2"/>
  <c r="V45" i="2"/>
  <c r="O45" i="2"/>
  <c r="N45" i="2"/>
  <c r="K45" i="2"/>
  <c r="J45" i="2"/>
  <c r="BD44" i="2"/>
  <c r="BC44" i="2"/>
  <c r="BB44" i="2"/>
  <c r="BA44" i="2"/>
  <c r="AZ44" i="2"/>
  <c r="AY44" i="2"/>
  <c r="AV44" i="2"/>
  <c r="AU44" i="2"/>
  <c r="AN44" i="2"/>
  <c r="AM44" i="2"/>
  <c r="AJ44" i="2"/>
  <c r="AI44" i="2"/>
  <c r="AB44" i="2"/>
  <c r="AA44" i="2"/>
  <c r="Z44" i="2"/>
  <c r="W44" i="2"/>
  <c r="V44" i="2"/>
  <c r="O44" i="2"/>
  <c r="N44" i="2"/>
  <c r="K44" i="2"/>
  <c r="J44" i="2"/>
  <c r="BD43" i="2"/>
  <c r="BC43" i="2"/>
  <c r="BB43" i="2"/>
  <c r="BA43" i="2"/>
  <c r="AZ43" i="2"/>
  <c r="AY43" i="2"/>
  <c r="AV43" i="2"/>
  <c r="AU43" i="2"/>
  <c r="AN43" i="2"/>
  <c r="AM43" i="2"/>
  <c r="AJ43" i="2"/>
  <c r="AI43" i="2"/>
  <c r="AB43" i="2"/>
  <c r="AA43" i="2"/>
  <c r="Z43" i="2"/>
  <c r="W43" i="2"/>
  <c r="V43" i="2"/>
  <c r="O43" i="2"/>
  <c r="N43" i="2"/>
  <c r="K43" i="2"/>
  <c r="J43" i="2"/>
  <c r="BD42" i="2"/>
  <c r="BC42" i="2"/>
  <c r="BB42" i="2"/>
  <c r="BA42" i="2"/>
  <c r="AZ42" i="2"/>
  <c r="AY42" i="2"/>
  <c r="AV42" i="2"/>
  <c r="AU42" i="2"/>
  <c r="AN42" i="2"/>
  <c r="AM42" i="2"/>
  <c r="AJ42" i="2"/>
  <c r="AI42" i="2"/>
  <c r="AB42" i="2"/>
  <c r="AA42" i="2"/>
  <c r="Z42" i="2"/>
  <c r="W42" i="2"/>
  <c r="V42" i="2"/>
  <c r="O42" i="2"/>
  <c r="N42" i="2"/>
  <c r="K42" i="2"/>
  <c r="J42" i="2"/>
  <c r="BD41" i="2"/>
  <c r="BC41" i="2"/>
  <c r="BB41" i="2"/>
  <c r="BA41" i="2"/>
  <c r="AZ41" i="2"/>
  <c r="AY41" i="2"/>
  <c r="AV41" i="2"/>
  <c r="AU41" i="2"/>
  <c r="AN41" i="2"/>
  <c r="AM41" i="2"/>
  <c r="AJ41" i="2"/>
  <c r="AI41" i="2"/>
  <c r="AB41" i="2"/>
  <c r="AA41" i="2"/>
  <c r="Z41" i="2"/>
  <c r="W41" i="2"/>
  <c r="V41" i="2"/>
  <c r="O41" i="2"/>
  <c r="N41" i="2"/>
  <c r="K41" i="2"/>
  <c r="J41" i="2"/>
  <c r="BD40" i="2"/>
  <c r="BC40" i="2"/>
  <c r="BB40" i="2"/>
  <c r="BA40" i="2"/>
  <c r="AZ40" i="2"/>
  <c r="AY40" i="2"/>
  <c r="AV40" i="2"/>
  <c r="AU40" i="2"/>
  <c r="AN40" i="2"/>
  <c r="AM40" i="2"/>
  <c r="AJ40" i="2"/>
  <c r="AI40" i="2"/>
  <c r="AB40" i="2"/>
  <c r="AA40" i="2"/>
  <c r="Z40" i="2"/>
  <c r="W40" i="2"/>
  <c r="V40" i="2"/>
  <c r="O40" i="2"/>
  <c r="N40" i="2"/>
  <c r="K40" i="2"/>
  <c r="J40" i="2"/>
  <c r="BD39" i="2"/>
  <c r="BC39" i="2"/>
  <c r="BB39" i="2"/>
  <c r="BA39" i="2"/>
  <c r="AZ39" i="2"/>
  <c r="AY39" i="2"/>
  <c r="AV39" i="2"/>
  <c r="AU39" i="2"/>
  <c r="AN39" i="2"/>
  <c r="AM39" i="2"/>
  <c r="AJ39" i="2"/>
  <c r="AI39" i="2"/>
  <c r="AB39" i="2"/>
  <c r="AA39" i="2"/>
  <c r="Z39" i="2"/>
  <c r="W39" i="2"/>
  <c r="V39" i="2"/>
  <c r="O39" i="2"/>
  <c r="N39" i="2"/>
  <c r="K39" i="2"/>
  <c r="J39" i="2"/>
  <c r="BD38" i="2"/>
  <c r="BC38" i="2"/>
  <c r="BB38" i="2"/>
  <c r="BA38" i="2"/>
  <c r="AZ38" i="2"/>
  <c r="AY38" i="2"/>
  <c r="AV38" i="2"/>
  <c r="AU38" i="2"/>
  <c r="AN38" i="2"/>
  <c r="AM38" i="2"/>
  <c r="AJ38" i="2"/>
  <c r="AI38" i="2"/>
  <c r="AB38" i="2"/>
  <c r="AA38" i="2"/>
  <c r="Z38" i="2"/>
  <c r="W38" i="2"/>
  <c r="V38" i="2"/>
  <c r="O38" i="2"/>
  <c r="N38" i="2"/>
  <c r="K38" i="2"/>
  <c r="J38" i="2"/>
  <c r="BD37" i="2"/>
  <c r="BC37" i="2"/>
  <c r="BB37" i="2"/>
  <c r="BA37" i="2"/>
  <c r="AZ37" i="2"/>
  <c r="AY37" i="2"/>
  <c r="AV37" i="2"/>
  <c r="AU37" i="2"/>
  <c r="AN37" i="2"/>
  <c r="AM37" i="2"/>
  <c r="AJ37" i="2"/>
  <c r="AI37" i="2"/>
  <c r="AB37" i="2"/>
  <c r="AA37" i="2"/>
  <c r="Z37" i="2"/>
  <c r="W37" i="2"/>
  <c r="V37" i="2"/>
  <c r="O37" i="2"/>
  <c r="N37" i="2"/>
  <c r="K37" i="2"/>
  <c r="J37" i="2"/>
  <c r="BD36" i="2"/>
  <c r="BC36" i="2"/>
  <c r="BB36" i="2"/>
  <c r="BA36" i="2"/>
  <c r="AZ36" i="2"/>
  <c r="AY36" i="2"/>
  <c r="AV36" i="2"/>
  <c r="AU36" i="2"/>
  <c r="AN36" i="2"/>
  <c r="AM36" i="2"/>
  <c r="AJ36" i="2"/>
  <c r="AI36" i="2"/>
  <c r="AB36" i="2"/>
  <c r="AA36" i="2"/>
  <c r="Z36" i="2"/>
  <c r="W36" i="2"/>
  <c r="V36" i="2"/>
  <c r="O36" i="2"/>
  <c r="N36" i="2"/>
  <c r="K36" i="2"/>
  <c r="J36" i="2"/>
  <c r="BD35" i="2"/>
  <c r="BC35" i="2"/>
  <c r="BB35" i="2"/>
  <c r="BA35" i="2"/>
  <c r="AZ35" i="2"/>
  <c r="AY35" i="2"/>
  <c r="AV35" i="2"/>
  <c r="AU35" i="2"/>
  <c r="AN35" i="2"/>
  <c r="AM35" i="2"/>
  <c r="AJ35" i="2"/>
  <c r="AI35" i="2"/>
  <c r="AB35" i="2"/>
  <c r="AA35" i="2"/>
  <c r="Z35" i="2"/>
  <c r="W35" i="2"/>
  <c r="V35" i="2"/>
  <c r="O35" i="2"/>
  <c r="N35" i="2"/>
  <c r="K35" i="2"/>
  <c r="J35" i="2"/>
  <c r="BD34" i="2"/>
  <c r="BC34" i="2"/>
  <c r="BB34" i="2"/>
  <c r="BA34" i="2"/>
  <c r="AZ34" i="2"/>
  <c r="AY34" i="2"/>
  <c r="AV34" i="2"/>
  <c r="AU34" i="2"/>
  <c r="AN34" i="2"/>
  <c r="AM34" i="2"/>
  <c r="AJ34" i="2"/>
  <c r="AI34" i="2"/>
  <c r="AB34" i="2"/>
  <c r="AA34" i="2"/>
  <c r="Z34" i="2"/>
  <c r="W34" i="2"/>
  <c r="V34" i="2"/>
  <c r="O34" i="2"/>
  <c r="N34" i="2"/>
  <c r="K34" i="2"/>
  <c r="J34" i="2"/>
  <c r="BD33" i="2"/>
  <c r="BC33" i="2"/>
  <c r="BB33" i="2"/>
  <c r="BA33" i="2"/>
  <c r="AZ33" i="2"/>
  <c r="AY33" i="2"/>
  <c r="AV33" i="2"/>
  <c r="AU33" i="2"/>
  <c r="AN33" i="2"/>
  <c r="AM33" i="2"/>
  <c r="AJ33" i="2"/>
  <c r="AI33" i="2"/>
  <c r="AB33" i="2"/>
  <c r="AA33" i="2"/>
  <c r="Z33" i="2"/>
  <c r="W33" i="2"/>
  <c r="V33" i="2"/>
  <c r="O33" i="2"/>
  <c r="N33" i="2"/>
  <c r="K33" i="2"/>
  <c r="J33" i="2"/>
  <c r="BD32" i="2"/>
  <c r="BC32" i="2"/>
  <c r="BB32" i="2"/>
  <c r="BA32" i="2"/>
  <c r="AZ32" i="2"/>
  <c r="AY32" i="2"/>
  <c r="AV32" i="2"/>
  <c r="AU32" i="2"/>
  <c r="AN32" i="2"/>
  <c r="AM32" i="2"/>
  <c r="AJ32" i="2"/>
  <c r="AI32" i="2"/>
  <c r="AB32" i="2"/>
  <c r="AA32" i="2"/>
  <c r="Z32" i="2"/>
  <c r="W32" i="2"/>
  <c r="V32" i="2"/>
  <c r="O32" i="2"/>
  <c r="N32" i="2"/>
  <c r="K32" i="2"/>
  <c r="J32" i="2"/>
  <c r="BD31" i="2"/>
  <c r="BC31" i="2"/>
  <c r="BB31" i="2"/>
  <c r="BA31" i="2"/>
  <c r="AZ31" i="2"/>
  <c r="AY31" i="2"/>
  <c r="AV31" i="2"/>
  <c r="AU31" i="2"/>
  <c r="AN31" i="2"/>
  <c r="AM31" i="2"/>
  <c r="AJ31" i="2"/>
  <c r="AI31" i="2"/>
  <c r="AB31" i="2"/>
  <c r="AA31" i="2"/>
  <c r="Z31" i="2"/>
  <c r="W31" i="2"/>
  <c r="V31" i="2"/>
  <c r="O31" i="2"/>
  <c r="N31" i="2"/>
  <c r="K31" i="2"/>
  <c r="J31" i="2"/>
  <c r="BD30" i="2"/>
  <c r="BC30" i="2"/>
  <c r="BB30" i="2"/>
  <c r="BA30" i="2"/>
  <c r="AZ30" i="2"/>
  <c r="AY30" i="2"/>
  <c r="AV30" i="2"/>
  <c r="AU30" i="2"/>
  <c r="AN30" i="2"/>
  <c r="AM30" i="2"/>
  <c r="AJ30" i="2"/>
  <c r="AI30" i="2"/>
  <c r="AB30" i="2"/>
  <c r="AA30" i="2"/>
  <c r="Z30" i="2"/>
  <c r="W30" i="2"/>
  <c r="V30" i="2"/>
  <c r="O30" i="2"/>
  <c r="N30" i="2"/>
  <c r="K30" i="2"/>
  <c r="J30" i="2"/>
  <c r="BD29" i="2"/>
  <c r="BC29" i="2"/>
  <c r="BB29" i="2"/>
  <c r="BA29" i="2"/>
  <c r="AZ29" i="2"/>
  <c r="AY29" i="2"/>
  <c r="AV29" i="2"/>
  <c r="AU29" i="2"/>
  <c r="AN29" i="2"/>
  <c r="AM29" i="2"/>
  <c r="AJ29" i="2"/>
  <c r="AI29" i="2"/>
  <c r="AB29" i="2"/>
  <c r="AA29" i="2"/>
  <c r="Z29" i="2"/>
  <c r="W29" i="2"/>
  <c r="V29" i="2"/>
  <c r="O29" i="2"/>
  <c r="N29" i="2"/>
  <c r="K29" i="2"/>
  <c r="J29" i="2"/>
  <c r="BD28" i="2"/>
  <c r="BC28" i="2"/>
  <c r="BB28" i="2"/>
  <c r="BA28" i="2"/>
  <c r="AZ28" i="2"/>
  <c r="AY28" i="2"/>
  <c r="AV28" i="2"/>
  <c r="AU28" i="2"/>
  <c r="AN28" i="2"/>
  <c r="AM28" i="2"/>
  <c r="AJ28" i="2"/>
  <c r="AI28" i="2"/>
  <c r="AB28" i="2"/>
  <c r="AA28" i="2"/>
  <c r="Z28" i="2"/>
  <c r="W28" i="2"/>
  <c r="V28" i="2"/>
  <c r="O28" i="2"/>
  <c r="N28" i="2"/>
  <c r="K28" i="2"/>
  <c r="J28" i="2"/>
  <c r="BD27" i="2"/>
  <c r="BC27" i="2"/>
  <c r="BB27" i="2"/>
  <c r="BA27" i="2"/>
  <c r="AZ27" i="2"/>
  <c r="AY27" i="2"/>
  <c r="AV27" i="2"/>
  <c r="AU27" i="2"/>
  <c r="AN27" i="2"/>
  <c r="AM27" i="2"/>
  <c r="AJ27" i="2"/>
  <c r="AI27" i="2"/>
  <c r="AB27" i="2"/>
  <c r="AA27" i="2"/>
  <c r="Z27" i="2"/>
  <c r="W27" i="2"/>
  <c r="V27" i="2"/>
  <c r="O27" i="2"/>
  <c r="N27" i="2"/>
  <c r="K27" i="2"/>
  <c r="J27" i="2"/>
  <c r="BD26" i="2"/>
  <c r="BC26" i="2"/>
  <c r="BB26" i="2"/>
  <c r="BA26" i="2"/>
  <c r="AZ26" i="2"/>
  <c r="AY26" i="2"/>
  <c r="AV26" i="2"/>
  <c r="AU26" i="2"/>
  <c r="AN26" i="2"/>
  <c r="AM26" i="2"/>
  <c r="AJ26" i="2"/>
  <c r="AI26" i="2"/>
  <c r="AB26" i="2"/>
  <c r="AA26" i="2"/>
  <c r="Z26" i="2"/>
  <c r="W26" i="2"/>
  <c r="V26" i="2"/>
  <c r="O26" i="2"/>
  <c r="N26" i="2"/>
  <c r="K26" i="2"/>
  <c r="J26" i="2"/>
  <c r="BD25" i="2"/>
  <c r="BC25" i="2"/>
  <c r="BB25" i="2"/>
  <c r="BA25" i="2"/>
  <c r="AZ25" i="2"/>
  <c r="AY25" i="2"/>
  <c r="AV25" i="2"/>
  <c r="AU25" i="2"/>
  <c r="AN25" i="2"/>
  <c r="AM25" i="2"/>
  <c r="AJ25" i="2"/>
  <c r="AI25" i="2"/>
  <c r="AB25" i="2"/>
  <c r="AA25" i="2"/>
  <c r="Z25" i="2"/>
  <c r="W25" i="2"/>
  <c r="V25" i="2"/>
  <c r="O25" i="2"/>
  <c r="N25" i="2"/>
  <c r="K25" i="2"/>
  <c r="J25" i="2"/>
  <c r="BD24" i="2"/>
  <c r="BC24" i="2"/>
  <c r="BB24" i="2"/>
  <c r="BA24" i="2"/>
  <c r="AZ24" i="2"/>
  <c r="AY24" i="2"/>
  <c r="AV24" i="2"/>
  <c r="AU24" i="2"/>
  <c r="AN24" i="2"/>
  <c r="AM24" i="2"/>
  <c r="AJ24" i="2"/>
  <c r="AI24" i="2"/>
  <c r="AB24" i="2"/>
  <c r="AA24" i="2"/>
  <c r="Z24" i="2"/>
  <c r="W24" i="2"/>
  <c r="V24" i="2"/>
  <c r="O24" i="2"/>
  <c r="N24" i="2"/>
  <c r="K24" i="2"/>
  <c r="J24" i="2"/>
  <c r="BD23" i="2"/>
  <c r="BC23" i="2"/>
  <c r="BB23" i="2"/>
  <c r="BA23" i="2"/>
  <c r="AZ23" i="2"/>
  <c r="AY23" i="2"/>
  <c r="AV23" i="2"/>
  <c r="AU23" i="2"/>
  <c r="AN23" i="2"/>
  <c r="AM23" i="2"/>
  <c r="AJ23" i="2"/>
  <c r="AI23" i="2"/>
  <c r="AB23" i="2"/>
  <c r="AA23" i="2"/>
  <c r="Z23" i="2"/>
  <c r="W23" i="2"/>
  <c r="V23" i="2"/>
  <c r="O23" i="2"/>
  <c r="N23" i="2"/>
  <c r="K23" i="2"/>
  <c r="J23" i="2"/>
  <c r="BD22" i="2"/>
  <c r="BC22" i="2"/>
  <c r="BB22" i="2"/>
  <c r="BA22" i="2"/>
  <c r="AZ22" i="2"/>
  <c r="AY22" i="2"/>
  <c r="AV22" i="2"/>
  <c r="AU22" i="2"/>
  <c r="AN22" i="2"/>
  <c r="AM22" i="2"/>
  <c r="AJ22" i="2"/>
  <c r="AI22" i="2"/>
  <c r="AB22" i="2"/>
  <c r="AA22" i="2"/>
  <c r="Z22" i="2"/>
  <c r="W22" i="2"/>
  <c r="V22" i="2"/>
  <c r="O22" i="2"/>
  <c r="N22" i="2"/>
  <c r="K22" i="2"/>
  <c r="J22" i="2"/>
  <c r="BD21" i="2"/>
  <c r="BC21" i="2"/>
  <c r="BB21" i="2"/>
  <c r="BA21" i="2"/>
  <c r="AZ21" i="2"/>
  <c r="AY21" i="2"/>
  <c r="AV21" i="2"/>
  <c r="AU21" i="2"/>
  <c r="AN21" i="2"/>
  <c r="AM21" i="2"/>
  <c r="AJ21" i="2"/>
  <c r="AI21" i="2"/>
  <c r="AB21" i="2"/>
  <c r="AA21" i="2"/>
  <c r="Z21" i="2"/>
  <c r="W21" i="2"/>
  <c r="V21" i="2"/>
  <c r="O21" i="2"/>
  <c r="N21" i="2"/>
  <c r="K21" i="2"/>
  <c r="J21" i="2"/>
  <c r="BD20" i="2"/>
  <c r="BC20" i="2"/>
  <c r="BB20" i="2"/>
  <c r="BA20" i="2"/>
  <c r="AZ20" i="2"/>
  <c r="AY20" i="2"/>
  <c r="AV20" i="2"/>
  <c r="AU20" i="2"/>
  <c r="AN20" i="2"/>
  <c r="AM20" i="2"/>
  <c r="AJ20" i="2"/>
  <c r="AI20" i="2"/>
  <c r="AB20" i="2"/>
  <c r="AA20" i="2"/>
  <c r="Z20" i="2"/>
  <c r="W20" i="2"/>
  <c r="V20" i="2"/>
  <c r="O20" i="2"/>
  <c r="N20" i="2"/>
  <c r="K20" i="2"/>
  <c r="J20" i="2"/>
  <c r="BD19" i="2"/>
  <c r="BC19" i="2"/>
  <c r="BB19" i="2"/>
  <c r="BA19" i="2"/>
  <c r="AZ19" i="2"/>
  <c r="AY19" i="2"/>
  <c r="AV19" i="2"/>
  <c r="AU19" i="2"/>
  <c r="AN19" i="2"/>
  <c r="AM19" i="2"/>
  <c r="AJ19" i="2"/>
  <c r="AI19" i="2"/>
  <c r="AB19" i="2"/>
  <c r="AA19" i="2"/>
  <c r="Z19" i="2"/>
  <c r="W19" i="2"/>
  <c r="V19" i="2"/>
  <c r="O19" i="2"/>
  <c r="N19" i="2"/>
  <c r="K19" i="2"/>
  <c r="J19" i="2"/>
  <c r="BD18" i="2"/>
  <c r="BC18" i="2"/>
  <c r="BB18" i="2"/>
  <c r="BA18" i="2"/>
  <c r="AZ18" i="2"/>
  <c r="AY18" i="2"/>
  <c r="AV18" i="2"/>
  <c r="AU18" i="2"/>
  <c r="AN18" i="2"/>
  <c r="AM18" i="2"/>
  <c r="AJ18" i="2"/>
  <c r="AI18" i="2"/>
  <c r="AB18" i="2"/>
  <c r="AA18" i="2"/>
  <c r="Z18" i="2"/>
  <c r="W18" i="2"/>
  <c r="V18" i="2"/>
  <c r="O18" i="2"/>
  <c r="N18" i="2"/>
  <c r="K18" i="2"/>
  <c r="J18" i="2"/>
  <c r="BD17" i="2"/>
  <c r="BC17" i="2"/>
  <c r="BB17" i="2"/>
  <c r="BA17" i="2"/>
  <c r="AZ17" i="2"/>
  <c r="AY17" i="2"/>
  <c r="AV17" i="2"/>
  <c r="AU17" i="2"/>
  <c r="AN17" i="2"/>
  <c r="AM17" i="2"/>
  <c r="AJ17" i="2"/>
  <c r="AI17" i="2"/>
  <c r="AB17" i="2"/>
  <c r="AA17" i="2"/>
  <c r="Z17" i="2"/>
  <c r="W17" i="2"/>
  <c r="V17" i="2"/>
  <c r="O17" i="2"/>
  <c r="N17" i="2"/>
  <c r="K17" i="2"/>
  <c r="J17" i="2"/>
  <c r="BD16" i="2"/>
  <c r="BC16" i="2"/>
  <c r="BB16" i="2"/>
  <c r="BA16" i="2"/>
  <c r="AZ16" i="2"/>
  <c r="AY16" i="2"/>
  <c r="AV16" i="2"/>
  <c r="AU16" i="2"/>
  <c r="AN16" i="2"/>
  <c r="AM16" i="2"/>
  <c r="AJ16" i="2"/>
  <c r="AI16" i="2"/>
  <c r="AB16" i="2"/>
  <c r="AA16" i="2"/>
  <c r="Z16" i="2"/>
  <c r="W16" i="2"/>
  <c r="V16" i="2"/>
  <c r="O16" i="2"/>
  <c r="N16" i="2"/>
  <c r="K16" i="2"/>
  <c r="J16" i="2"/>
  <c r="BD15" i="2"/>
  <c r="BC15" i="2"/>
  <c r="BB15" i="2"/>
  <c r="BA15" i="2"/>
  <c r="AZ15" i="2"/>
  <c r="AY15" i="2"/>
  <c r="AV15" i="2"/>
  <c r="AU15" i="2"/>
  <c r="AN15" i="2"/>
  <c r="AM15" i="2"/>
  <c r="AJ15" i="2"/>
  <c r="AI15" i="2"/>
  <c r="AB15" i="2"/>
  <c r="AA15" i="2"/>
  <c r="Z15" i="2"/>
  <c r="W15" i="2"/>
  <c r="V15" i="2"/>
  <c r="O15" i="2"/>
  <c r="N15" i="2"/>
  <c r="K15" i="2"/>
  <c r="J15" i="2"/>
  <c r="BD14" i="2"/>
  <c r="BC14" i="2"/>
  <c r="BB14" i="2"/>
  <c r="BA14" i="2"/>
  <c r="AZ14" i="2"/>
  <c r="AY14" i="2"/>
  <c r="AV14" i="2"/>
  <c r="AU14" i="2"/>
  <c r="AN14" i="2"/>
  <c r="AM14" i="2"/>
  <c r="AJ14" i="2"/>
  <c r="AI14" i="2"/>
  <c r="AB14" i="2"/>
  <c r="AA14" i="2"/>
  <c r="Z14" i="2"/>
  <c r="W14" i="2"/>
  <c r="V14" i="2"/>
  <c r="O14" i="2"/>
  <c r="N14" i="2"/>
  <c r="K14" i="2"/>
  <c r="J14" i="2"/>
  <c r="BD13" i="2"/>
  <c r="BC13" i="2"/>
  <c r="BB13" i="2"/>
  <c r="BA13" i="2"/>
  <c r="AZ13" i="2"/>
  <c r="AY13" i="2"/>
  <c r="AV13" i="2"/>
  <c r="AU13" i="2"/>
  <c r="AN13" i="2"/>
  <c r="AM13" i="2"/>
  <c r="AJ13" i="2"/>
  <c r="AI13" i="2"/>
  <c r="AB13" i="2"/>
  <c r="AA13" i="2"/>
  <c r="Z13" i="2"/>
  <c r="W13" i="2"/>
  <c r="V13" i="2"/>
  <c r="O13" i="2"/>
  <c r="N13" i="2"/>
  <c r="K13" i="2"/>
  <c r="J13" i="2"/>
  <c r="BD12" i="2"/>
  <c r="BC12" i="2"/>
  <c r="BB12" i="2"/>
  <c r="BA12" i="2"/>
  <c r="AZ12" i="2"/>
  <c r="AY12" i="2"/>
  <c r="AV12" i="2"/>
  <c r="AU12" i="2"/>
  <c r="AN12" i="2"/>
  <c r="AM12" i="2"/>
  <c r="AJ12" i="2"/>
  <c r="AI12" i="2"/>
  <c r="AB12" i="2"/>
  <c r="AA12" i="2"/>
  <c r="Z12" i="2"/>
  <c r="W12" i="2"/>
  <c r="V12" i="2"/>
  <c r="O12" i="2"/>
  <c r="N12" i="2"/>
  <c r="K12" i="2"/>
  <c r="J12" i="2"/>
  <c r="AY11" i="2"/>
  <c r="AU11" i="2"/>
  <c r="AV11" i="2" s="1"/>
  <c r="AZ11" i="2" s="1"/>
  <c r="AM11" i="2"/>
  <c r="AJ11" i="2"/>
  <c r="AI11" i="2"/>
  <c r="Z11" i="2"/>
  <c r="V11" i="2"/>
  <c r="W11" i="2" s="1"/>
  <c r="N11" i="2"/>
  <c r="J11" i="2"/>
  <c r="K11" i="2" s="1"/>
  <c r="O11" i="2" s="1"/>
  <c r="AY10" i="2"/>
  <c r="AU10" i="2"/>
  <c r="AV10" i="2" s="1"/>
  <c r="AZ10" i="2" s="1"/>
  <c r="AM10" i="2"/>
  <c r="AI10" i="2"/>
  <c r="AJ10" i="2" s="1"/>
  <c r="AN10" i="2" s="1"/>
  <c r="Z10" i="2"/>
  <c r="V10" i="2"/>
  <c r="W10" i="2" s="1"/>
  <c r="N10" i="2"/>
  <c r="AY9" i="2"/>
  <c r="AU9" i="2"/>
  <c r="AV9" i="2" s="1"/>
  <c r="AZ9" i="2" s="1"/>
  <c r="AM9" i="2"/>
  <c r="AI9" i="2"/>
  <c r="Z9" i="2"/>
  <c r="V9" i="2"/>
  <c r="N9" i="2"/>
  <c r="J9" i="2"/>
  <c r="AU8" i="2"/>
  <c r="AI8" i="2"/>
  <c r="AJ9" i="2" s="1"/>
  <c r="AN9" i="2" s="1"/>
  <c r="BA9" i="2" s="1"/>
  <c r="V8" i="2"/>
  <c r="AO3" i="2"/>
  <c r="O3" i="2"/>
  <c r="B3" i="2"/>
  <c r="AO2" i="2"/>
  <c r="O2" i="2"/>
  <c r="B2" i="2"/>
  <c r="I58" i="1"/>
  <c r="E58" i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I41" i="1"/>
  <c r="E41" i="1"/>
  <c r="I40" i="1"/>
  <c r="E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AN11" i="2" l="1"/>
  <c r="BA11" i="2" s="1"/>
  <c r="F20" i="3" s="1"/>
  <c r="AA11" i="2"/>
  <c r="AB11" i="2" s="1"/>
  <c r="AA10" i="2"/>
  <c r="O10" i="2"/>
  <c r="AB10" i="2" s="1"/>
  <c r="E19" i="3" s="1"/>
  <c r="BA10" i="2"/>
  <c r="F19" i="3" s="1"/>
  <c r="F18" i="3"/>
  <c r="W9" i="2"/>
  <c r="AA9" i="2" s="1"/>
  <c r="K9" i="2"/>
  <c r="O9" i="2" s="1"/>
  <c r="AB9" i="2" s="1"/>
  <c r="BB11" i="2" l="1"/>
  <c r="BC11" i="2" s="1"/>
  <c r="BD11" i="2" s="1"/>
  <c r="E20" i="3"/>
  <c r="BB10" i="2"/>
  <c r="BC10" i="2" s="1"/>
  <c r="BB9" i="2"/>
  <c r="BC9" i="2" s="1"/>
  <c r="G18" i="3" s="1"/>
  <c r="E18" i="3"/>
  <c r="G20" i="3" l="1"/>
  <c r="BD10" i="2"/>
  <c r="G19" i="3"/>
  <c r="BD9" i="2"/>
</calcChain>
</file>

<file path=xl/sharedStrings.xml><?xml version="1.0" encoding="utf-8"?>
<sst xmlns="http://schemas.openxmlformats.org/spreadsheetml/2006/main" count="129" uniqueCount="84">
  <si>
    <t>Dr. Yanga's Colleges, Inc.</t>
  </si>
  <si>
    <t>College Department</t>
  </si>
  <si>
    <t>McArthur Highway, Wakas, Bocaue, Bulacan 3018</t>
  </si>
  <si>
    <t>(044) 692-5291 - www.dyci.edu.ph</t>
  </si>
  <si>
    <t>SUBJECT PROFILE</t>
  </si>
  <si>
    <t>(Input data in UPPER CASE format)</t>
  </si>
  <si>
    <t>College:</t>
  </si>
  <si>
    <t>College of Computer Studies</t>
  </si>
  <si>
    <t>No.of Units:</t>
  </si>
  <si>
    <t>Subject Code:</t>
  </si>
  <si>
    <t>Schedule of Classes:</t>
  </si>
  <si>
    <t>Subject Description:</t>
  </si>
  <si>
    <t>Day:</t>
  </si>
  <si>
    <t>Sat</t>
  </si>
  <si>
    <t>Semester / Summer</t>
  </si>
  <si>
    <t>Time/Hour:</t>
  </si>
  <si>
    <t>7:00 - 10:00</t>
  </si>
  <si>
    <t>Academic Year:</t>
  </si>
  <si>
    <t>2025-2026</t>
  </si>
  <si>
    <t>Course:</t>
  </si>
  <si>
    <t>Section:</t>
  </si>
  <si>
    <t>Student Record Examiner:</t>
  </si>
  <si>
    <t>Registrar:</t>
  </si>
  <si>
    <t>Faculty Name:</t>
  </si>
  <si>
    <t>Dean:</t>
  </si>
  <si>
    <t>STUDENT NAMES</t>
  </si>
  <si>
    <t>RECORD SHEET FOR GENERAL EDUCATION SUBJECTS</t>
  </si>
  <si>
    <t>Semester:</t>
  </si>
  <si>
    <t>STUDENT INFO</t>
  </si>
  <si>
    <t>PRELIMINARY GRADE</t>
  </si>
  <si>
    <t>MIDTERM GRADE</t>
  </si>
  <si>
    <t>MIDTERM RATING</t>
  </si>
  <si>
    <t>SEMI-FINAL GRADE</t>
  </si>
  <si>
    <t>FINAL GRADE</t>
  </si>
  <si>
    <t>TENTATIVE FINAL RATING</t>
  </si>
  <si>
    <t>SEMESTRAL GRADE</t>
  </si>
  <si>
    <t>Class Standing</t>
  </si>
  <si>
    <t>Char</t>
  </si>
  <si>
    <t>Term Exam</t>
  </si>
  <si>
    <t>Rating</t>
  </si>
  <si>
    <t>Equivalent</t>
  </si>
  <si>
    <t>Remarks</t>
  </si>
  <si>
    <t>Total</t>
  </si>
  <si>
    <t>%</t>
  </si>
  <si>
    <t>Raw</t>
  </si>
  <si>
    <t>No.</t>
  </si>
  <si>
    <t>Student No.</t>
  </si>
  <si>
    <t>NAME</t>
  </si>
  <si>
    <t>2025-1001</t>
  </si>
  <si>
    <t>98-100</t>
  </si>
  <si>
    <t>95-97</t>
  </si>
  <si>
    <t>OFFICE OF THE REGISTRAR</t>
  </si>
  <si>
    <t>92-94</t>
  </si>
  <si>
    <t>REPORT OF GRADES</t>
  </si>
  <si>
    <t>89-91</t>
  </si>
  <si>
    <t>86-88</t>
  </si>
  <si>
    <t>83-85</t>
  </si>
  <si>
    <t>Semester / Summer and School Year</t>
  </si>
  <si>
    <t>80-82</t>
  </si>
  <si>
    <t>77-79</t>
  </si>
  <si>
    <t>75-76</t>
  </si>
  <si>
    <t>74 below</t>
  </si>
  <si>
    <t>Incomplete</t>
  </si>
  <si>
    <t>Inc.</t>
  </si>
  <si>
    <t>Dropped</t>
  </si>
  <si>
    <t>Drp.</t>
  </si>
  <si>
    <t>Student's Name</t>
  </si>
  <si>
    <t>MR</t>
  </si>
  <si>
    <t>TFR</t>
  </si>
  <si>
    <t>SG</t>
  </si>
  <si>
    <t>BSITCPR323</t>
  </si>
  <si>
    <t>Capstone and Research 1</t>
  </si>
  <si>
    <t>2nd Sem</t>
  </si>
  <si>
    <t>BSIT</t>
  </si>
  <si>
    <t>IT3A</t>
  </si>
  <si>
    <t>ERON DAVE GERONIMO</t>
  </si>
  <si>
    <t>CLARENCE TIMOTHY SADIAZA, MBA</t>
  </si>
  <si>
    <t>EMMANUEL VITO CRUZ, MIT</t>
  </si>
  <si>
    <t>CARL JEROME ABALOS, DIT</t>
  </si>
  <si>
    <t>GABRIEL, JOHN CHRISTIAN C.</t>
  </si>
  <si>
    <t>SATIAGO, MARK ANGELO</t>
  </si>
  <si>
    <t>CELESTINO, CARLO</t>
  </si>
  <si>
    <t>2025-1002</t>
  </si>
  <si>
    <t>2025-1003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</si>
</sst>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i/>
      <sz val="8"/>
      <name val="Calibri"/>
    </font>
    <font>
      <b/>
      <sz val="11"/>
      <color rgb="FFFFFFFF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8DB4E2"/>
        <bgColor rgb="FF8DB4E2"/>
      </patternFill>
    </fill>
    <fill>
      <patternFill patternType="solid">
        <fgColor rgb="FF1F497D"/>
        <bgColor rgb="FF1F497D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right" vertical="center"/>
    </xf>
    <xf numFmtId="0" fontId="0" fillId="0" borderId="4" xfId="0" applyBorder="1"/>
    <xf numFmtId="0" fontId="2" fillId="0" borderId="0" xfId="0" applyFont="1"/>
    <xf numFmtId="0" fontId="0" fillId="0" borderId="7" xfId="0" applyBorder="1"/>
    <xf numFmtId="0" fontId="2" fillId="0" borderId="4" xfId="0" applyFont="1" applyBorder="1" applyAlignment="1">
      <alignment horizontal="right" vertical="center"/>
    </xf>
    <xf numFmtId="0" fontId="0" fillId="0" borderId="8" xfId="0" applyBorder="1"/>
    <xf numFmtId="0" fontId="0" fillId="0" borderId="9" xfId="0" applyBorder="1"/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9" xfId="0" applyFill="1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2" borderId="4" xfId="0" applyFill="1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9" xfId="0" applyBorder="1"/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>
      <selection activeCell="I20" sqref="I20"/>
    </sheetView>
  </sheetViews>
  <sheetFormatPr defaultRowHeight="14.4" x14ac:dyDescent="0.3"/>
  <cols>
    <col min="3" max="3" width="25" customWidth="1"/>
    <col min="4" max="4" width="15" customWidth="1"/>
    <col min="5" max="5" width="25" customWidth="1"/>
    <col min="6" max="6" width="5" customWidth="1"/>
    <col min="8" max="8" width="20" customWidth="1"/>
    <col min="9" max="10" width="15" customWidth="1"/>
  </cols>
  <sheetData>
    <row r="1" spans="1:12" ht="2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3">
      <c r="A2" s="25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3">
      <c r="A3" s="24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3">
      <c r="A4" s="24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6" spans="1:12" x14ac:dyDescent="0.3">
      <c r="B6" s="1"/>
      <c r="C6" s="2"/>
      <c r="D6" s="2"/>
      <c r="E6" s="2"/>
      <c r="F6" s="2"/>
      <c r="G6" s="2"/>
      <c r="H6" s="2"/>
      <c r="I6" s="2"/>
      <c r="J6" s="2"/>
      <c r="K6" s="3"/>
    </row>
    <row r="7" spans="1:12" ht="21" x14ac:dyDescent="0.3">
      <c r="B7" s="4"/>
      <c r="C7" s="22" t="s">
        <v>4</v>
      </c>
      <c r="D7" s="23"/>
      <c r="E7" s="23"/>
      <c r="F7" s="23"/>
      <c r="G7" s="23"/>
      <c r="H7" s="23"/>
      <c r="I7" s="23"/>
      <c r="J7" s="23"/>
      <c r="K7" s="5"/>
    </row>
    <row r="8" spans="1:12" x14ac:dyDescent="0.3">
      <c r="B8" s="4"/>
      <c r="C8" s="6" t="s">
        <v>5</v>
      </c>
      <c r="K8" s="5"/>
    </row>
    <row r="9" spans="1:12" x14ac:dyDescent="0.3">
      <c r="B9" s="4"/>
      <c r="K9" s="5"/>
    </row>
    <row r="10" spans="1:12" x14ac:dyDescent="0.3">
      <c r="B10" s="4"/>
      <c r="C10" s="7" t="s">
        <v>6</v>
      </c>
      <c r="D10" s="20" t="s">
        <v>7</v>
      </c>
      <c r="E10" s="21"/>
      <c r="F10" s="21"/>
      <c r="H10" s="9" t="s">
        <v>8</v>
      </c>
      <c r="I10" s="20">
        <v>3</v>
      </c>
      <c r="J10" s="21"/>
      <c r="K10" s="5"/>
    </row>
    <row r="11" spans="1:12" x14ac:dyDescent="0.3">
      <c r="B11" s="4"/>
      <c r="K11" s="5"/>
    </row>
    <row r="12" spans="1:12" x14ac:dyDescent="0.3">
      <c r="B12" s="4"/>
      <c r="C12" s="7" t="s">
        <v>9</v>
      </c>
      <c r="D12" s="20" t="s">
        <v>70</v>
      </c>
      <c r="E12" s="21"/>
      <c r="F12" s="21"/>
      <c r="H12" s="9" t="s">
        <v>10</v>
      </c>
      <c r="K12" s="5"/>
    </row>
    <row r="13" spans="1:12" x14ac:dyDescent="0.3">
      <c r="B13" s="4"/>
      <c r="K13" s="5"/>
    </row>
    <row r="14" spans="1:12" x14ac:dyDescent="0.3">
      <c r="B14" s="4"/>
      <c r="C14" s="7" t="s">
        <v>11</v>
      </c>
      <c r="D14" s="20" t="s">
        <v>71</v>
      </c>
      <c r="E14" s="21"/>
      <c r="F14" s="21"/>
      <c r="H14" s="7" t="s">
        <v>12</v>
      </c>
      <c r="I14" s="20" t="s">
        <v>13</v>
      </c>
      <c r="J14" s="21"/>
      <c r="K14" s="5"/>
    </row>
    <row r="15" spans="1:12" x14ac:dyDescent="0.3">
      <c r="B15" s="4"/>
      <c r="C15" s="7" t="s">
        <v>14</v>
      </c>
      <c r="D15" s="20" t="s">
        <v>72</v>
      </c>
      <c r="E15" s="21"/>
      <c r="F15" s="21"/>
      <c r="H15" s="7" t="s">
        <v>15</v>
      </c>
      <c r="I15" s="20" t="s">
        <v>16</v>
      </c>
      <c r="J15" s="21"/>
      <c r="K15" s="5"/>
    </row>
    <row r="16" spans="1:12" x14ac:dyDescent="0.3">
      <c r="B16" s="4"/>
      <c r="K16" s="5"/>
    </row>
    <row r="17" spans="1:12" x14ac:dyDescent="0.3">
      <c r="B17" s="4"/>
      <c r="C17" s="7" t="s">
        <v>17</v>
      </c>
      <c r="D17" s="20" t="s">
        <v>18</v>
      </c>
      <c r="E17" s="21"/>
      <c r="F17" s="21"/>
      <c r="K17" s="5"/>
    </row>
    <row r="18" spans="1:12" x14ac:dyDescent="0.3">
      <c r="B18" s="4"/>
      <c r="C18" s="7" t="s">
        <v>19</v>
      </c>
      <c r="D18" s="20" t="s">
        <v>73</v>
      </c>
      <c r="E18" s="21"/>
      <c r="F18" s="21"/>
      <c r="K18" s="5"/>
    </row>
    <row r="19" spans="1:12" x14ac:dyDescent="0.3">
      <c r="B19" s="4"/>
      <c r="C19" s="7" t="s">
        <v>20</v>
      </c>
      <c r="D19" s="20" t="s">
        <v>74</v>
      </c>
      <c r="E19" s="21"/>
      <c r="F19" s="21"/>
      <c r="K19" s="5"/>
    </row>
    <row r="20" spans="1:12" x14ac:dyDescent="0.3">
      <c r="B20" s="4"/>
      <c r="C20" s="7" t="s">
        <v>21</v>
      </c>
      <c r="D20" s="20" t="s">
        <v>75</v>
      </c>
      <c r="E20" s="21"/>
      <c r="F20" s="21"/>
      <c r="K20" s="5"/>
    </row>
    <row r="21" spans="1:12" x14ac:dyDescent="0.3">
      <c r="B21" s="4"/>
      <c r="C21" s="7" t="s">
        <v>22</v>
      </c>
      <c r="D21" s="20" t="s">
        <v>76</v>
      </c>
      <c r="E21" s="21"/>
      <c r="F21" s="21"/>
      <c r="K21" s="5"/>
    </row>
    <row r="22" spans="1:12" x14ac:dyDescent="0.3">
      <c r="B22" s="4"/>
      <c r="C22" s="7" t="s">
        <v>23</v>
      </c>
      <c r="D22" s="20" t="s">
        <v>77</v>
      </c>
      <c r="E22" s="21"/>
      <c r="F22" s="21"/>
      <c r="K22" s="5"/>
    </row>
    <row r="23" spans="1:12" x14ac:dyDescent="0.3">
      <c r="B23" s="10"/>
      <c r="C23" s="11" t="s">
        <v>24</v>
      </c>
      <c r="D23" s="20" t="s">
        <v>78</v>
      </c>
      <c r="E23" s="21"/>
      <c r="F23" s="21"/>
      <c r="G23" s="8"/>
      <c r="H23" s="8"/>
      <c r="I23" s="8"/>
      <c r="J23" s="8"/>
      <c r="K23" s="12"/>
    </row>
    <row r="25" spans="1:12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7" spans="1:12" ht="21" x14ac:dyDescent="0.3">
      <c r="A27" s="22" t="s">
        <v>25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9" spans="1:12" x14ac:dyDescent="0.3">
      <c r="D29" s="7">
        <v>1</v>
      </c>
      <c r="E29" t="str">
        <f>'Record Sheet'!C9</f>
        <v>GABRIEL, JOHN CHRISTIAN C.</v>
      </c>
      <c r="H29" s="7">
        <v>31</v>
      </c>
      <c r="I29">
        <f>'Record Sheet'!C39</f>
        <v>0</v>
      </c>
    </row>
    <row r="30" spans="1:12" x14ac:dyDescent="0.3">
      <c r="D30" s="7">
        <v>2</v>
      </c>
      <c r="E30" t="str">
        <f>'Record Sheet'!C10</f>
        <v>SATIAGO, MARK ANGELO</v>
      </c>
      <c r="H30" s="7">
        <v>32</v>
      </c>
      <c r="I30">
        <f>'Record Sheet'!C40</f>
        <v>0</v>
      </c>
    </row>
    <row r="31" spans="1:12" x14ac:dyDescent="0.3">
      <c r="D31" s="7">
        <v>3</v>
      </c>
      <c r="E31" t="str">
        <f>'Record Sheet'!C11</f>
        <v>CELESTINO, CARLO</v>
      </c>
      <c r="H31" s="7">
        <v>33</v>
      </c>
      <c r="I31">
        <f>'Record Sheet'!C41</f>
        <v>0</v>
      </c>
    </row>
    <row r="32" spans="1:12" x14ac:dyDescent="0.3">
      <c r="D32" s="7">
        <v>4</v>
      </c>
      <c r="E32">
        <f>'Record Sheet'!C12</f>
        <v>0</v>
      </c>
      <c r="H32" s="7">
        <v>34</v>
      </c>
      <c r="I32">
        <f>'Record Sheet'!C42</f>
        <v>0</v>
      </c>
    </row>
    <row r="33" spans="4:9" x14ac:dyDescent="0.3">
      <c r="D33" s="7">
        <v>5</v>
      </c>
      <c r="E33">
        <f>'Record Sheet'!C13</f>
        <v>0</v>
      </c>
      <c r="H33" s="7">
        <v>35</v>
      </c>
      <c r="I33">
        <f>'Record Sheet'!C43</f>
        <v>0</v>
      </c>
    </row>
    <row r="34" spans="4:9" x14ac:dyDescent="0.3">
      <c r="D34" s="7">
        <v>6</v>
      </c>
      <c r="E34">
        <f>'Record Sheet'!C14</f>
        <v>0</v>
      </c>
      <c r="H34" s="7">
        <v>36</v>
      </c>
      <c r="I34">
        <f>'Record Sheet'!C44</f>
        <v>0</v>
      </c>
    </row>
    <row r="35" spans="4:9" x14ac:dyDescent="0.3">
      <c r="D35" s="7">
        <v>7</v>
      </c>
      <c r="E35">
        <f>'Record Sheet'!C15</f>
        <v>0</v>
      </c>
      <c r="H35" s="7">
        <v>37</v>
      </c>
      <c r="I35">
        <f>'Record Sheet'!C45</f>
        <v>0</v>
      </c>
    </row>
    <row r="36" spans="4:9" x14ac:dyDescent="0.3">
      <c r="D36" s="7">
        <v>8</v>
      </c>
      <c r="E36">
        <f>'Record Sheet'!C16</f>
        <v>0</v>
      </c>
      <c r="H36" s="7">
        <v>38</v>
      </c>
      <c r="I36">
        <f>'Record Sheet'!C46</f>
        <v>0</v>
      </c>
    </row>
    <row r="37" spans="4:9" x14ac:dyDescent="0.3">
      <c r="D37" s="7">
        <v>9</v>
      </c>
      <c r="E37">
        <f>'Record Sheet'!C17</f>
        <v>0</v>
      </c>
      <c r="H37" s="7">
        <v>39</v>
      </c>
      <c r="I37">
        <f>'Record Sheet'!C47</f>
        <v>0</v>
      </c>
    </row>
    <row r="38" spans="4:9" x14ac:dyDescent="0.3">
      <c r="D38" s="7">
        <v>10</v>
      </c>
      <c r="E38">
        <f>'Record Sheet'!C18</f>
        <v>0</v>
      </c>
      <c r="H38" s="7">
        <v>40</v>
      </c>
      <c r="I38">
        <f>'Record Sheet'!C48</f>
        <v>0</v>
      </c>
    </row>
    <row r="39" spans="4:9" x14ac:dyDescent="0.3">
      <c r="D39" s="7">
        <v>11</v>
      </c>
      <c r="E39">
        <f>'Record Sheet'!C19</f>
        <v>0</v>
      </c>
      <c r="H39" s="7">
        <v>41</v>
      </c>
      <c r="I39">
        <f>'Record Sheet'!C49</f>
        <v>0</v>
      </c>
    </row>
    <row r="40" spans="4:9" x14ac:dyDescent="0.3">
      <c r="D40" s="7">
        <v>12</v>
      </c>
      <c r="E40">
        <f>'Record Sheet'!C20</f>
        <v>0</v>
      </c>
      <c r="H40" s="7">
        <v>42</v>
      </c>
      <c r="I40">
        <f>'Record Sheet'!C50</f>
        <v>0</v>
      </c>
    </row>
    <row r="41" spans="4:9" x14ac:dyDescent="0.3">
      <c r="D41" s="7">
        <v>13</v>
      </c>
      <c r="E41">
        <f>'Record Sheet'!C21</f>
        <v>0</v>
      </c>
      <c r="H41" s="7">
        <v>43</v>
      </c>
      <c r="I41">
        <f>'Record Sheet'!C51</f>
        <v>0</v>
      </c>
    </row>
    <row r="42" spans="4:9" x14ac:dyDescent="0.3">
      <c r="D42" s="7">
        <v>14</v>
      </c>
      <c r="E42">
        <f>'Record Sheet'!C22</f>
        <v>0</v>
      </c>
      <c r="H42" s="7">
        <v>44</v>
      </c>
      <c r="I42">
        <f>'Record Sheet'!C52</f>
        <v>0</v>
      </c>
    </row>
    <row r="43" spans="4:9" x14ac:dyDescent="0.3">
      <c r="D43" s="7">
        <v>15</v>
      </c>
      <c r="E43">
        <f>'Record Sheet'!C23</f>
        <v>0</v>
      </c>
      <c r="H43" s="7">
        <v>45</v>
      </c>
      <c r="I43">
        <f>'Record Sheet'!C53</f>
        <v>0</v>
      </c>
    </row>
    <row r="44" spans="4:9" x14ac:dyDescent="0.3">
      <c r="D44" s="7">
        <v>16</v>
      </c>
      <c r="E44">
        <f>'Record Sheet'!C24</f>
        <v>0</v>
      </c>
      <c r="H44" s="7">
        <v>46</v>
      </c>
      <c r="I44">
        <f>'Record Sheet'!C54</f>
        <v>0</v>
      </c>
    </row>
    <row r="45" spans="4:9" x14ac:dyDescent="0.3">
      <c r="D45" s="7">
        <v>17</v>
      </c>
      <c r="E45">
        <f>'Record Sheet'!C25</f>
        <v>0</v>
      </c>
      <c r="H45" s="7">
        <v>47</v>
      </c>
      <c r="I45">
        <f>'Record Sheet'!C55</f>
        <v>0</v>
      </c>
    </row>
    <row r="46" spans="4:9" x14ac:dyDescent="0.3">
      <c r="D46" s="7">
        <v>18</v>
      </c>
      <c r="E46">
        <f>'Record Sheet'!C26</f>
        <v>0</v>
      </c>
      <c r="H46" s="7">
        <v>48</v>
      </c>
      <c r="I46">
        <f>'Record Sheet'!C56</f>
        <v>0</v>
      </c>
    </row>
    <row r="47" spans="4:9" x14ac:dyDescent="0.3">
      <c r="D47" s="7">
        <v>19</v>
      </c>
      <c r="E47">
        <f>'Record Sheet'!C27</f>
        <v>0</v>
      </c>
      <c r="H47" s="7">
        <v>49</v>
      </c>
      <c r="I47">
        <f>'Record Sheet'!C57</f>
        <v>0</v>
      </c>
    </row>
    <row r="48" spans="4:9" x14ac:dyDescent="0.3">
      <c r="D48" s="7">
        <v>20</v>
      </c>
      <c r="E48">
        <f>'Record Sheet'!C28</f>
        <v>0</v>
      </c>
      <c r="H48" s="7">
        <v>50</v>
      </c>
      <c r="I48">
        <f>'Record Sheet'!C58</f>
        <v>0</v>
      </c>
    </row>
    <row r="49" spans="4:9" x14ac:dyDescent="0.3">
      <c r="D49" s="7">
        <v>21</v>
      </c>
      <c r="E49">
        <f>'Record Sheet'!C29</f>
        <v>0</v>
      </c>
      <c r="H49" s="7">
        <v>51</v>
      </c>
      <c r="I49">
        <f>'Record Sheet'!C59</f>
        <v>0</v>
      </c>
    </row>
    <row r="50" spans="4:9" x14ac:dyDescent="0.3">
      <c r="D50" s="7">
        <v>22</v>
      </c>
      <c r="E50">
        <f>'Record Sheet'!C30</f>
        <v>0</v>
      </c>
      <c r="H50" s="7">
        <v>52</v>
      </c>
      <c r="I50">
        <f>'Record Sheet'!C60</f>
        <v>0</v>
      </c>
    </row>
    <row r="51" spans="4:9" x14ac:dyDescent="0.3">
      <c r="D51" s="7">
        <v>23</v>
      </c>
      <c r="E51">
        <f>'Record Sheet'!C31</f>
        <v>0</v>
      </c>
      <c r="H51" s="7">
        <v>53</v>
      </c>
      <c r="I51">
        <f>'Record Sheet'!C61</f>
        <v>0</v>
      </c>
    </row>
    <row r="52" spans="4:9" x14ac:dyDescent="0.3">
      <c r="D52" s="7">
        <v>24</v>
      </c>
      <c r="E52">
        <f>'Record Sheet'!C32</f>
        <v>0</v>
      </c>
      <c r="H52" s="7">
        <v>54</v>
      </c>
      <c r="I52">
        <f>'Record Sheet'!C62</f>
        <v>0</v>
      </c>
    </row>
    <row r="53" spans="4:9" x14ac:dyDescent="0.3">
      <c r="D53" s="7">
        <v>25</v>
      </c>
      <c r="E53">
        <f>'Record Sheet'!C33</f>
        <v>0</v>
      </c>
      <c r="H53" s="7">
        <v>55</v>
      </c>
      <c r="I53">
        <f>'Record Sheet'!C63</f>
        <v>0</v>
      </c>
    </row>
    <row r="54" spans="4:9" x14ac:dyDescent="0.3">
      <c r="D54" s="7">
        <v>26</v>
      </c>
      <c r="E54">
        <f>'Record Sheet'!C34</f>
        <v>0</v>
      </c>
      <c r="H54" s="7">
        <v>56</v>
      </c>
      <c r="I54">
        <f>'Record Sheet'!C64</f>
        <v>0</v>
      </c>
    </row>
    <row r="55" spans="4:9" x14ac:dyDescent="0.3">
      <c r="D55" s="7">
        <v>27</v>
      </c>
      <c r="E55">
        <f>'Record Sheet'!C35</f>
        <v>0</v>
      </c>
      <c r="H55" s="7">
        <v>57</v>
      </c>
      <c r="I55">
        <f>'Record Sheet'!C65</f>
        <v>0</v>
      </c>
    </row>
    <row r="56" spans="4:9" x14ac:dyDescent="0.3">
      <c r="D56" s="7">
        <v>28</v>
      </c>
      <c r="E56">
        <f>'Record Sheet'!C36</f>
        <v>0</v>
      </c>
      <c r="H56" s="7">
        <v>58</v>
      </c>
      <c r="I56">
        <f>'Record Sheet'!C66</f>
        <v>0</v>
      </c>
    </row>
    <row r="57" spans="4:9" x14ac:dyDescent="0.3">
      <c r="D57" s="7">
        <v>29</v>
      </c>
      <c r="E57">
        <f>'Record Sheet'!C37</f>
        <v>0</v>
      </c>
      <c r="H57" s="7">
        <v>59</v>
      </c>
      <c r="I57">
        <f>'Record Sheet'!C67</f>
        <v>0</v>
      </c>
    </row>
    <row r="58" spans="4:9" x14ac:dyDescent="0.3">
      <c r="D58" s="7">
        <v>30</v>
      </c>
      <c r="E58">
        <f>'Record Sheet'!C38</f>
        <v>0</v>
      </c>
      <c r="H58" s="7">
        <v>60</v>
      </c>
      <c r="I58">
        <f>'Record Sheet'!C68</f>
        <v>0</v>
      </c>
    </row>
  </sheetData>
  <mergeCells count="20">
    <mergeCell ref="I10:J10"/>
    <mergeCell ref="A1:L1"/>
    <mergeCell ref="D22:F22"/>
    <mergeCell ref="D21:F21"/>
    <mergeCell ref="I15:J15"/>
    <mergeCell ref="D17:F17"/>
    <mergeCell ref="A27:L27"/>
    <mergeCell ref="A3:L3"/>
    <mergeCell ref="A2:L2"/>
    <mergeCell ref="D12:F12"/>
    <mergeCell ref="D18:F18"/>
    <mergeCell ref="D15:F15"/>
    <mergeCell ref="A4:L4"/>
    <mergeCell ref="D14:F14"/>
    <mergeCell ref="D23:F23"/>
    <mergeCell ref="I14:J14"/>
    <mergeCell ref="D20:F20"/>
    <mergeCell ref="D10:F10"/>
    <mergeCell ref="D19:F19"/>
    <mergeCell ref="C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8"/>
  <sheetViews>
    <sheetView zoomScaleNormal="100" workbookViewId="0">
      <selection activeCell="AG21" sqref="AG21"/>
    </sheetView>
  </sheetViews>
  <sheetFormatPr defaultRowHeight="14.4" x14ac:dyDescent="0.3"/>
  <cols>
    <col min="1" max="1" width="5" customWidth="1"/>
    <col min="2" max="2" width="15" customWidth="1"/>
    <col min="3" max="3" width="25" customWidth="1"/>
    <col min="4" max="56" width="6" customWidth="1"/>
  </cols>
  <sheetData>
    <row r="1" spans="1:56" ht="21" x14ac:dyDescent="0.3">
      <c r="A1" s="22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</row>
    <row r="2" spans="1:56" x14ac:dyDescent="0.3">
      <c r="A2" s="9" t="s">
        <v>6</v>
      </c>
      <c r="B2" s="9" t="str">
        <f>'Subject Profile'!D10</f>
        <v>College of Computer Studies</v>
      </c>
      <c r="N2" s="9" t="s">
        <v>19</v>
      </c>
      <c r="O2" s="9" t="str">
        <f>'Subject Profile'!D18</f>
        <v>BSIT</v>
      </c>
      <c r="AN2" s="9" t="s">
        <v>17</v>
      </c>
      <c r="AO2" s="9" t="str">
        <f>'Subject Profile'!D17</f>
        <v>2025-2026</v>
      </c>
    </row>
    <row r="3" spans="1:56" x14ac:dyDescent="0.3">
      <c r="A3" s="9" t="s">
        <v>11</v>
      </c>
      <c r="B3" s="9" t="str">
        <f>'Subject Profile'!D14</f>
        <v>Capstone and Research 1</v>
      </c>
      <c r="N3" s="9" t="s">
        <v>20</v>
      </c>
      <c r="O3" s="9" t="str">
        <f>'Subject Profile'!D19</f>
        <v>IT3A</v>
      </c>
      <c r="AN3" s="9" t="s">
        <v>27</v>
      </c>
      <c r="AO3" s="9" t="str">
        <f>'Subject Profile'!D15</f>
        <v>2nd Sem</v>
      </c>
    </row>
    <row r="5" spans="1:56" x14ac:dyDescent="0.3">
      <c r="A5" s="33" t="s">
        <v>28</v>
      </c>
      <c r="B5" s="27"/>
      <c r="C5" s="27"/>
      <c r="D5" s="30" t="s">
        <v>29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0" t="s">
        <v>30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31" t="s">
        <v>31</v>
      </c>
      <c r="AC5" s="30" t="s">
        <v>32</v>
      </c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30" t="s">
        <v>33</v>
      </c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31" t="s">
        <v>34</v>
      </c>
      <c r="BB5" s="28" t="s">
        <v>35</v>
      </c>
      <c r="BC5" s="27"/>
      <c r="BD5" s="27"/>
    </row>
    <row r="6" spans="1:56" x14ac:dyDescent="0.3">
      <c r="A6" s="27"/>
      <c r="B6" s="27"/>
      <c r="C6" s="27"/>
      <c r="D6" s="32" t="s">
        <v>36</v>
      </c>
      <c r="E6" s="27"/>
      <c r="F6" s="27"/>
      <c r="G6" s="27"/>
      <c r="H6" s="27"/>
      <c r="I6" s="27"/>
      <c r="J6" s="27"/>
      <c r="K6" s="27"/>
      <c r="L6" s="29" t="s">
        <v>37</v>
      </c>
      <c r="M6" s="29" t="s">
        <v>38</v>
      </c>
      <c r="N6" s="27"/>
      <c r="O6" s="26" t="s">
        <v>39</v>
      </c>
      <c r="P6" s="32" t="s">
        <v>36</v>
      </c>
      <c r="Q6" s="27"/>
      <c r="R6" s="27"/>
      <c r="S6" s="27"/>
      <c r="T6" s="27"/>
      <c r="U6" s="27"/>
      <c r="V6" s="27"/>
      <c r="W6" s="27"/>
      <c r="X6" s="29" t="s">
        <v>37</v>
      </c>
      <c r="Y6" s="29" t="s">
        <v>38</v>
      </c>
      <c r="Z6" s="27"/>
      <c r="AA6" s="26" t="s">
        <v>39</v>
      </c>
      <c r="AB6" s="27"/>
      <c r="AC6" s="32" t="s">
        <v>36</v>
      </c>
      <c r="AD6" s="27"/>
      <c r="AE6" s="27"/>
      <c r="AF6" s="27"/>
      <c r="AG6" s="27"/>
      <c r="AH6" s="27"/>
      <c r="AI6" s="27"/>
      <c r="AJ6" s="27"/>
      <c r="AK6" s="29" t="s">
        <v>37</v>
      </c>
      <c r="AL6" s="29" t="s">
        <v>38</v>
      </c>
      <c r="AM6" s="27"/>
      <c r="AN6" s="26" t="s">
        <v>39</v>
      </c>
      <c r="AO6" s="32" t="s">
        <v>36</v>
      </c>
      <c r="AP6" s="27"/>
      <c r="AQ6" s="27"/>
      <c r="AR6" s="27"/>
      <c r="AS6" s="27"/>
      <c r="AT6" s="27"/>
      <c r="AU6" s="27"/>
      <c r="AV6" s="27"/>
      <c r="AW6" s="29" t="s">
        <v>37</v>
      </c>
      <c r="AX6" s="29" t="s">
        <v>38</v>
      </c>
      <c r="AY6" s="27"/>
      <c r="AZ6" s="26" t="s">
        <v>39</v>
      </c>
      <c r="BA6" s="27"/>
      <c r="BB6" s="29" t="s">
        <v>39</v>
      </c>
      <c r="BC6" s="29" t="s">
        <v>40</v>
      </c>
      <c r="BD6" s="29" t="s">
        <v>41</v>
      </c>
    </row>
    <row r="7" spans="1:56" x14ac:dyDescent="0.3">
      <c r="A7" s="27"/>
      <c r="B7" s="27"/>
      <c r="C7" s="27"/>
      <c r="D7" s="15">
        <v>1</v>
      </c>
      <c r="E7" s="15">
        <v>2</v>
      </c>
      <c r="F7" s="15">
        <v>3</v>
      </c>
      <c r="G7" s="15">
        <v>4</v>
      </c>
      <c r="H7" s="15">
        <v>5</v>
      </c>
      <c r="I7" s="15">
        <v>6</v>
      </c>
      <c r="J7" s="15" t="s">
        <v>42</v>
      </c>
      <c r="K7" s="15" t="s">
        <v>43</v>
      </c>
      <c r="L7" s="27"/>
      <c r="M7" s="15" t="s">
        <v>44</v>
      </c>
      <c r="N7" s="15" t="s">
        <v>43</v>
      </c>
      <c r="O7" s="27"/>
      <c r="P7" s="15">
        <v>1</v>
      </c>
      <c r="Q7" s="15">
        <v>2</v>
      </c>
      <c r="R7" s="15">
        <v>3</v>
      </c>
      <c r="S7" s="15">
        <v>4</v>
      </c>
      <c r="T7" s="15">
        <v>5</v>
      </c>
      <c r="U7" s="15">
        <v>6</v>
      </c>
      <c r="V7" s="15" t="s">
        <v>42</v>
      </c>
      <c r="W7" s="15" t="s">
        <v>43</v>
      </c>
      <c r="X7" s="27"/>
      <c r="Y7" s="15" t="s">
        <v>44</v>
      </c>
      <c r="Z7" s="15" t="s">
        <v>43</v>
      </c>
      <c r="AA7" s="27"/>
      <c r="AB7" s="27"/>
      <c r="AC7" s="15">
        <v>1</v>
      </c>
      <c r="AD7" s="15">
        <v>2</v>
      </c>
      <c r="AE7" s="15">
        <v>3</v>
      </c>
      <c r="AF7" s="15">
        <v>4</v>
      </c>
      <c r="AG7" s="15">
        <v>5</v>
      </c>
      <c r="AH7" s="15">
        <v>6</v>
      </c>
      <c r="AI7" s="15" t="s">
        <v>42</v>
      </c>
      <c r="AJ7" s="15" t="s">
        <v>43</v>
      </c>
      <c r="AK7" s="27"/>
      <c r="AL7" s="15" t="s">
        <v>44</v>
      </c>
      <c r="AM7" s="15" t="s">
        <v>43</v>
      </c>
      <c r="AN7" s="27"/>
      <c r="AO7" s="15">
        <v>1</v>
      </c>
      <c r="AP7" s="15">
        <v>2</v>
      </c>
      <c r="AQ7" s="15">
        <v>3</v>
      </c>
      <c r="AR7" s="15">
        <v>4</v>
      </c>
      <c r="AS7" s="15">
        <v>5</v>
      </c>
      <c r="AT7" s="15">
        <v>6</v>
      </c>
      <c r="AU7" s="15" t="s">
        <v>42</v>
      </c>
      <c r="AV7" s="15" t="s">
        <v>43</v>
      </c>
      <c r="AW7" s="27"/>
      <c r="AX7" s="15" t="s">
        <v>44</v>
      </c>
      <c r="AY7" s="15" t="s">
        <v>43</v>
      </c>
      <c r="AZ7" s="27"/>
      <c r="BA7" s="27"/>
      <c r="BB7" s="27"/>
      <c r="BC7" s="27"/>
      <c r="BD7" s="27"/>
    </row>
    <row r="8" spans="1:56" x14ac:dyDescent="0.3">
      <c r="A8" s="14" t="s">
        <v>45</v>
      </c>
      <c r="B8" s="14" t="s">
        <v>46</v>
      </c>
      <c r="C8" s="14" t="s">
        <v>47</v>
      </c>
      <c r="D8" s="16">
        <v>20</v>
      </c>
      <c r="E8" s="16">
        <v>20</v>
      </c>
      <c r="F8" s="16">
        <v>20</v>
      </c>
      <c r="G8" s="16">
        <v>20</v>
      </c>
      <c r="H8" s="16">
        <v>20</v>
      </c>
      <c r="I8" s="16">
        <v>10</v>
      </c>
      <c r="J8" s="16">
        <f>SUM(D8:I8)</f>
        <v>110</v>
      </c>
      <c r="K8" s="16">
        <v>50</v>
      </c>
      <c r="L8" s="16">
        <v>100</v>
      </c>
      <c r="M8" s="16">
        <v>40</v>
      </c>
      <c r="N8" s="16">
        <v>40</v>
      </c>
      <c r="O8" s="16">
        <v>100</v>
      </c>
      <c r="P8" s="16">
        <v>20</v>
      </c>
      <c r="Q8" s="16">
        <v>20</v>
      </c>
      <c r="R8" s="16">
        <v>20</v>
      </c>
      <c r="S8" s="16">
        <v>20</v>
      </c>
      <c r="T8" s="16">
        <v>20</v>
      </c>
      <c r="U8" s="16">
        <v>10</v>
      </c>
      <c r="V8" s="16">
        <f>SUM(P8:U8)</f>
        <v>110</v>
      </c>
      <c r="W8" s="16"/>
      <c r="X8" s="16"/>
      <c r="Y8" s="16">
        <v>40</v>
      </c>
      <c r="Z8" s="16"/>
      <c r="AA8" s="16"/>
      <c r="AB8" s="16"/>
      <c r="AC8" s="16">
        <v>20</v>
      </c>
      <c r="AD8" s="16">
        <v>20</v>
      </c>
      <c r="AE8" s="16">
        <v>20</v>
      </c>
      <c r="AF8" s="16">
        <v>20</v>
      </c>
      <c r="AG8" s="16">
        <v>20</v>
      </c>
      <c r="AH8" s="16">
        <v>10</v>
      </c>
      <c r="AI8" s="16">
        <f>SUM(AC8:AH8)</f>
        <v>110</v>
      </c>
      <c r="AJ8" s="16"/>
      <c r="AK8" s="16"/>
      <c r="AL8" s="16">
        <v>40</v>
      </c>
      <c r="AM8" s="16"/>
      <c r="AN8" s="16"/>
      <c r="AO8" s="16">
        <v>20</v>
      </c>
      <c r="AP8" s="16">
        <v>20</v>
      </c>
      <c r="AQ8" s="16">
        <v>20</v>
      </c>
      <c r="AR8" s="16">
        <v>20</v>
      </c>
      <c r="AS8" s="16">
        <v>20</v>
      </c>
      <c r="AT8" s="16">
        <v>10</v>
      </c>
      <c r="AU8" s="16">
        <f>SUM(AO8:AT8)</f>
        <v>110</v>
      </c>
      <c r="AV8" s="16"/>
      <c r="AW8" s="16"/>
      <c r="AX8" s="16">
        <v>40</v>
      </c>
      <c r="AY8" s="16"/>
      <c r="AZ8" s="16"/>
      <c r="BA8" s="16"/>
      <c r="BB8" s="16"/>
      <c r="BC8" s="16"/>
      <c r="BD8" s="16"/>
    </row>
    <row r="9" spans="1:56" x14ac:dyDescent="0.3">
      <c r="A9">
        <v>1</v>
      </c>
      <c r="B9" t="s">
        <v>48</v>
      </c>
      <c r="C9" t="s">
        <v>79</v>
      </c>
      <c r="D9">
        <v>18</v>
      </c>
      <c r="E9">
        <v>19</v>
      </c>
      <c r="F9">
        <v>17</v>
      </c>
      <c r="G9">
        <v>20</v>
      </c>
      <c r="H9">
        <v>18</v>
      </c>
      <c r="I9">
        <v>9</v>
      </c>
      <c r="J9">
        <f t="shared" ref="J9:J40" si="0">IF($C9="","",SUM(D9:I9))</f>
        <v>101</v>
      </c>
      <c r="K9">
        <f t="shared" ref="K9:K40" si="1">IF($C9="","",IF(J$8&gt;0, (J9/J$8)*50, 0))</f>
        <v>45.909090909090914</v>
      </c>
      <c r="L9">
        <v>100</v>
      </c>
      <c r="M9">
        <v>35</v>
      </c>
      <c r="N9">
        <f t="shared" ref="N9:N40" si="2">IF($C9="","",IF(M$8&gt;0, (M9/M$8)*40, 0))</f>
        <v>35</v>
      </c>
      <c r="O9">
        <f t="shared" ref="O9:O40" si="3">IF($C9="","",ROUND(K9+(L9*0.1)+N9,0))</f>
        <v>91</v>
      </c>
      <c r="P9">
        <v>15</v>
      </c>
      <c r="Q9">
        <v>14</v>
      </c>
      <c r="R9">
        <v>17</v>
      </c>
      <c r="S9">
        <v>20</v>
      </c>
      <c r="T9">
        <v>18</v>
      </c>
      <c r="U9">
        <v>9</v>
      </c>
      <c r="V9">
        <f t="shared" ref="V9:V40" si="4">IF($C9="","",SUM(P9:U9))</f>
        <v>93</v>
      </c>
      <c r="W9">
        <f t="shared" ref="W9:W40" si="5">IF($C9="","",IF(V$8&gt;0, (V9/V$8)*50, 0))</f>
        <v>42.272727272727273</v>
      </c>
      <c r="X9">
        <v>100</v>
      </c>
      <c r="Y9">
        <v>35</v>
      </c>
      <c r="Z9">
        <f t="shared" ref="Z9:Z40" si="6">IF($C9="","",IF(Y$8&gt;0, (Y9/Y$8)*40, 0))</f>
        <v>35</v>
      </c>
      <c r="AA9">
        <f t="shared" ref="AA9:AA40" si="7">IF($C9="","",ROUND(W9+(X9*0.1)+Z9,0))</f>
        <v>87</v>
      </c>
      <c r="AB9">
        <f>IF($C9="","",ROUND(AVERAGE(O9, AA9),0))</f>
        <v>89</v>
      </c>
      <c r="AC9">
        <v>18</v>
      </c>
      <c r="AD9">
        <v>19</v>
      </c>
      <c r="AE9">
        <v>17</v>
      </c>
      <c r="AF9">
        <v>20</v>
      </c>
      <c r="AG9">
        <v>18</v>
      </c>
      <c r="AH9">
        <v>9</v>
      </c>
      <c r="AI9">
        <f t="shared" ref="AI9:AI40" si="8">IF($C9="","",SUM(AC9:AH9))</f>
        <v>101</v>
      </c>
      <c r="AJ9">
        <f t="shared" ref="AJ9:AJ40" si="9">IF($C9="","",IF(AI$8&gt;0, (AI9/AI$8)*50, 0))</f>
        <v>45.909090909090914</v>
      </c>
      <c r="AK9">
        <v>100</v>
      </c>
      <c r="AL9">
        <v>35</v>
      </c>
      <c r="AM9">
        <f t="shared" ref="AM9:AM40" si="10">IF($C9="","",IF(AL$8&gt;0, (AL9/AL$8)*40, 0))</f>
        <v>35</v>
      </c>
      <c r="AN9">
        <f t="shared" ref="AN9:AN40" si="11">IF($C9="","",ROUND(AJ9+(AK9*0.1)+AM9,0))</f>
        <v>91</v>
      </c>
      <c r="AO9">
        <v>18</v>
      </c>
      <c r="AP9">
        <v>19</v>
      </c>
      <c r="AQ9">
        <v>17</v>
      </c>
      <c r="AR9">
        <v>20</v>
      </c>
      <c r="AS9">
        <v>18</v>
      </c>
      <c r="AT9">
        <v>9</v>
      </c>
      <c r="AU9">
        <f t="shared" ref="AU9:AU40" si="12">IF($C9="","",SUM(AO9:AT9))</f>
        <v>101</v>
      </c>
      <c r="AV9">
        <f t="shared" ref="AV9:AV40" si="13">IF($C9="","",IF(AU$8&gt;0, (AU9/AU$8)*50, 0))</f>
        <v>45.909090909090914</v>
      </c>
      <c r="AW9">
        <v>100</v>
      </c>
      <c r="AX9">
        <v>35</v>
      </c>
      <c r="AY9">
        <f t="shared" ref="AY9:AY40" si="14">IF($C9="","",IF(AX$8&gt;0, (AX9/AX$8)*40, 0))</f>
        <v>35</v>
      </c>
      <c r="AZ9">
        <f t="shared" ref="AZ9:AZ40" si="15">IF($C9="","",ROUND(AV9+(AW9*0.1)+AY9,0))</f>
        <v>91</v>
      </c>
      <c r="BA9">
        <f>IF($C9="","",ROUND(AVERAGE(AN9, AZ9),0))</f>
        <v>91</v>
      </c>
      <c r="BB9">
        <f t="shared" ref="BB9:BB40" si="16">IF($C9="","",ROUND(AVERAGE(AB9, BA9),0))</f>
        <v>90</v>
      </c>
      <c r="BC9">
        <f t="shared" ref="BC9:BC40" si="17">IF($C9="","",IF(BB9&gt;=98, 1, IF(BB9&gt;=95, 1.25, IF(BB9&gt;=92, 1.5, IF(BB9&gt;=89, 1.75, IF(BB9&gt;=86, 2, IF(BB9&gt;=83, 2.25, IF(BB9&gt;=80, 2.5, IF(BB9&gt;=77, 2.75, IF(BB9&gt;=75, 3, 5))))))))))</f>
        <v>1.75</v>
      </c>
      <c r="BD9" t="str">
        <f t="shared" ref="BD9:BD40" si="18">IF($C9="","",IF(BC9&lt;=3, "Passed", "Failed"))</f>
        <v>Passed</v>
      </c>
    </row>
    <row r="10" spans="1:56" x14ac:dyDescent="0.3">
      <c r="A10">
        <v>2</v>
      </c>
      <c r="B10" t="s">
        <v>82</v>
      </c>
      <c r="C10" t="s">
        <v>80</v>
      </c>
      <c r="D10">
        <v>20</v>
      </c>
      <c r="E10">
        <v>18</v>
      </c>
      <c r="F10">
        <v>20</v>
      </c>
      <c r="G10">
        <v>17</v>
      </c>
      <c r="H10">
        <v>15</v>
      </c>
      <c r="I10">
        <v>5</v>
      </c>
      <c r="J10">
        <f>IF($C10="","",SUM(D10:I10))</f>
        <v>95</v>
      </c>
      <c r="K10">
        <f>IF($C10="","",IF(J$8&gt;0, (J10/J$8)*50, 0))</f>
        <v>43.18181818181818</v>
      </c>
      <c r="L10">
        <v>80</v>
      </c>
      <c r="M10">
        <v>40</v>
      </c>
      <c r="N10">
        <f t="shared" si="2"/>
        <v>40</v>
      </c>
      <c r="O10">
        <f t="shared" si="3"/>
        <v>91</v>
      </c>
      <c r="P10">
        <v>19</v>
      </c>
      <c r="Q10">
        <v>17</v>
      </c>
      <c r="R10">
        <v>18</v>
      </c>
      <c r="S10">
        <v>19</v>
      </c>
      <c r="T10">
        <v>17</v>
      </c>
      <c r="U10">
        <v>10</v>
      </c>
      <c r="V10">
        <f t="shared" si="4"/>
        <v>100</v>
      </c>
      <c r="W10">
        <f t="shared" si="5"/>
        <v>45.454545454545453</v>
      </c>
      <c r="X10">
        <v>90</v>
      </c>
      <c r="Y10">
        <v>37</v>
      </c>
      <c r="Z10">
        <f t="shared" si="6"/>
        <v>37</v>
      </c>
      <c r="AA10">
        <f t="shared" si="7"/>
        <v>91</v>
      </c>
      <c r="AB10">
        <f t="shared" ref="AB9:AB40" si="19">IF($C10="","",ROUND(AVERAGE(O10, AA10),0))</f>
        <v>91</v>
      </c>
      <c r="AC10">
        <v>20</v>
      </c>
      <c r="AD10">
        <v>18</v>
      </c>
      <c r="AE10">
        <v>20</v>
      </c>
      <c r="AF10">
        <v>17</v>
      </c>
      <c r="AG10">
        <v>15</v>
      </c>
      <c r="AH10">
        <v>5</v>
      </c>
      <c r="AI10">
        <f t="shared" si="8"/>
        <v>95</v>
      </c>
      <c r="AJ10">
        <f t="shared" si="9"/>
        <v>43.18181818181818</v>
      </c>
      <c r="AK10">
        <v>85</v>
      </c>
      <c r="AL10">
        <v>30</v>
      </c>
      <c r="AM10">
        <f t="shared" si="10"/>
        <v>30</v>
      </c>
      <c r="AN10">
        <f t="shared" si="11"/>
        <v>82</v>
      </c>
      <c r="AO10">
        <v>15</v>
      </c>
      <c r="AP10">
        <v>14</v>
      </c>
      <c r="AQ10">
        <v>17</v>
      </c>
      <c r="AR10">
        <v>20</v>
      </c>
      <c r="AS10">
        <v>18</v>
      </c>
      <c r="AT10">
        <v>9</v>
      </c>
      <c r="AU10">
        <f t="shared" si="12"/>
        <v>93</v>
      </c>
      <c r="AV10">
        <f t="shared" si="13"/>
        <v>42.272727272727273</v>
      </c>
      <c r="AW10">
        <v>100</v>
      </c>
      <c r="AX10">
        <v>25</v>
      </c>
      <c r="AY10">
        <f t="shared" si="14"/>
        <v>25</v>
      </c>
      <c r="AZ10">
        <f t="shared" si="15"/>
        <v>77</v>
      </c>
      <c r="BA10">
        <f t="shared" ref="BA9:BA40" si="20">IF($C10="","",ROUND(AVERAGE(AN10, AZ10),0))</f>
        <v>80</v>
      </c>
      <c r="BB10">
        <f t="shared" si="16"/>
        <v>86</v>
      </c>
      <c r="BC10">
        <f t="shared" si="17"/>
        <v>2</v>
      </c>
      <c r="BD10" t="str">
        <f t="shared" si="18"/>
        <v>Passed</v>
      </c>
    </row>
    <row r="11" spans="1:56" x14ac:dyDescent="0.3">
      <c r="A11">
        <v>3</v>
      </c>
      <c r="B11" t="s">
        <v>83</v>
      </c>
      <c r="C11" t="s">
        <v>81</v>
      </c>
      <c r="D11">
        <v>19</v>
      </c>
      <c r="E11">
        <v>17</v>
      </c>
      <c r="F11">
        <v>18</v>
      </c>
      <c r="G11">
        <v>19</v>
      </c>
      <c r="H11">
        <v>17</v>
      </c>
      <c r="I11">
        <v>10</v>
      </c>
      <c r="J11">
        <f t="shared" si="0"/>
        <v>100</v>
      </c>
      <c r="K11">
        <f t="shared" si="1"/>
        <v>45.454545454545453</v>
      </c>
      <c r="L11">
        <v>95</v>
      </c>
      <c r="M11">
        <v>30</v>
      </c>
      <c r="N11">
        <f t="shared" si="2"/>
        <v>30</v>
      </c>
      <c r="O11">
        <f t="shared" si="3"/>
        <v>85</v>
      </c>
      <c r="P11">
        <v>20</v>
      </c>
      <c r="Q11">
        <v>18</v>
      </c>
      <c r="R11">
        <v>20</v>
      </c>
      <c r="S11">
        <v>17</v>
      </c>
      <c r="T11">
        <v>15</v>
      </c>
      <c r="U11">
        <v>5</v>
      </c>
      <c r="V11">
        <f t="shared" si="4"/>
        <v>95</v>
      </c>
      <c r="W11">
        <f t="shared" si="5"/>
        <v>43.18181818181818</v>
      </c>
      <c r="X11">
        <v>85</v>
      </c>
      <c r="Y11">
        <v>40</v>
      </c>
      <c r="Z11">
        <f t="shared" si="6"/>
        <v>40</v>
      </c>
      <c r="AA11">
        <f t="shared" si="7"/>
        <v>92</v>
      </c>
      <c r="AB11">
        <f t="shared" si="19"/>
        <v>89</v>
      </c>
      <c r="AC11">
        <v>15</v>
      </c>
      <c r="AD11">
        <v>14</v>
      </c>
      <c r="AE11">
        <v>17</v>
      </c>
      <c r="AF11">
        <v>20</v>
      </c>
      <c r="AG11">
        <v>18</v>
      </c>
      <c r="AH11">
        <v>9</v>
      </c>
      <c r="AI11">
        <f t="shared" si="8"/>
        <v>93</v>
      </c>
      <c r="AJ11">
        <f t="shared" si="9"/>
        <v>42.272727272727273</v>
      </c>
      <c r="AK11">
        <v>95</v>
      </c>
      <c r="AL11">
        <v>33</v>
      </c>
      <c r="AM11">
        <f t="shared" si="10"/>
        <v>33</v>
      </c>
      <c r="AN11">
        <f t="shared" si="11"/>
        <v>85</v>
      </c>
      <c r="AO11">
        <v>18</v>
      </c>
      <c r="AP11">
        <v>19</v>
      </c>
      <c r="AQ11">
        <v>17</v>
      </c>
      <c r="AR11">
        <v>20</v>
      </c>
      <c r="AS11">
        <v>18</v>
      </c>
      <c r="AT11">
        <v>9</v>
      </c>
      <c r="AU11">
        <f t="shared" si="12"/>
        <v>101</v>
      </c>
      <c r="AV11">
        <f t="shared" si="13"/>
        <v>45.909090909090914</v>
      </c>
      <c r="AW11">
        <v>100</v>
      </c>
      <c r="AX11">
        <v>29</v>
      </c>
      <c r="AY11">
        <f t="shared" si="14"/>
        <v>29</v>
      </c>
      <c r="AZ11">
        <f t="shared" si="15"/>
        <v>85</v>
      </c>
      <c r="BA11">
        <f t="shared" si="20"/>
        <v>85</v>
      </c>
      <c r="BB11">
        <f t="shared" si="16"/>
        <v>87</v>
      </c>
      <c r="BC11">
        <f t="shared" si="17"/>
        <v>2</v>
      </c>
      <c r="BD11" t="str">
        <f t="shared" si="18"/>
        <v>Passed</v>
      </c>
    </row>
    <row r="12" spans="1:56" x14ac:dyDescent="0.3">
      <c r="A12">
        <v>4</v>
      </c>
      <c r="J12" t="str">
        <f t="shared" si="0"/>
        <v/>
      </c>
      <c r="K12" t="str">
        <f t="shared" si="1"/>
        <v/>
      </c>
      <c r="N12" t="str">
        <f t="shared" si="2"/>
        <v/>
      </c>
      <c r="O12" t="str">
        <f t="shared" si="3"/>
        <v/>
      </c>
      <c r="V12" t="str">
        <f t="shared" si="4"/>
        <v/>
      </c>
      <c r="W12" t="str">
        <f t="shared" si="5"/>
        <v/>
      </c>
      <c r="Z12" t="str">
        <f t="shared" si="6"/>
        <v/>
      </c>
      <c r="AA12" t="str">
        <f t="shared" si="7"/>
        <v/>
      </c>
      <c r="AB12" t="str">
        <f t="shared" si="19"/>
        <v/>
      </c>
      <c r="AI12" t="str">
        <f t="shared" si="8"/>
        <v/>
      </c>
      <c r="AJ12" t="str">
        <f t="shared" si="9"/>
        <v/>
      </c>
      <c r="AM12" t="str">
        <f t="shared" si="10"/>
        <v/>
      </c>
      <c r="AN12" t="str">
        <f t="shared" si="11"/>
        <v/>
      </c>
      <c r="AU12" t="str">
        <f t="shared" si="12"/>
        <v/>
      </c>
      <c r="AV12" t="str">
        <f t="shared" si="13"/>
        <v/>
      </c>
      <c r="AY12" t="str">
        <f t="shared" si="14"/>
        <v/>
      </c>
      <c r="AZ12" t="str">
        <f t="shared" si="15"/>
        <v/>
      </c>
      <c r="BA12" t="str">
        <f t="shared" si="20"/>
        <v/>
      </c>
      <c r="BB12" t="str">
        <f t="shared" si="16"/>
        <v/>
      </c>
      <c r="BC12" t="str">
        <f t="shared" si="17"/>
        <v/>
      </c>
      <c r="BD12" t="str">
        <f t="shared" si="18"/>
        <v/>
      </c>
    </row>
    <row r="13" spans="1:56" x14ac:dyDescent="0.3">
      <c r="A13">
        <v>5</v>
      </c>
      <c r="J13" t="str">
        <f t="shared" si="0"/>
        <v/>
      </c>
      <c r="K13" t="str">
        <f t="shared" si="1"/>
        <v/>
      </c>
      <c r="N13" t="str">
        <f t="shared" si="2"/>
        <v/>
      </c>
      <c r="O13" t="str">
        <f t="shared" si="3"/>
        <v/>
      </c>
      <c r="V13" t="str">
        <f t="shared" si="4"/>
        <v/>
      </c>
      <c r="W13" t="str">
        <f t="shared" si="5"/>
        <v/>
      </c>
      <c r="Z13" t="str">
        <f t="shared" si="6"/>
        <v/>
      </c>
      <c r="AA13" t="str">
        <f t="shared" si="7"/>
        <v/>
      </c>
      <c r="AB13" t="str">
        <f t="shared" si="19"/>
        <v/>
      </c>
      <c r="AI13" t="str">
        <f t="shared" si="8"/>
        <v/>
      </c>
      <c r="AJ13" t="str">
        <f t="shared" si="9"/>
        <v/>
      </c>
      <c r="AM13" t="str">
        <f t="shared" si="10"/>
        <v/>
      </c>
      <c r="AN13" t="str">
        <f t="shared" si="11"/>
        <v/>
      </c>
      <c r="AU13" t="str">
        <f t="shared" si="12"/>
        <v/>
      </c>
      <c r="AV13" t="str">
        <f t="shared" si="13"/>
        <v/>
      </c>
      <c r="AY13" t="str">
        <f t="shared" si="14"/>
        <v/>
      </c>
      <c r="AZ13" t="str">
        <f t="shared" si="15"/>
        <v/>
      </c>
      <c r="BA13" t="str">
        <f t="shared" si="20"/>
        <v/>
      </c>
      <c r="BB13" t="str">
        <f t="shared" si="16"/>
        <v/>
      </c>
      <c r="BC13" t="str">
        <f t="shared" si="17"/>
        <v/>
      </c>
      <c r="BD13" t="str">
        <f t="shared" si="18"/>
        <v/>
      </c>
    </row>
    <row r="14" spans="1:56" x14ac:dyDescent="0.3">
      <c r="A14">
        <v>6</v>
      </c>
      <c r="J14" t="str">
        <f t="shared" si="0"/>
        <v/>
      </c>
      <c r="K14" t="str">
        <f t="shared" si="1"/>
        <v/>
      </c>
      <c r="N14" t="str">
        <f t="shared" si="2"/>
        <v/>
      </c>
      <c r="O14" t="str">
        <f t="shared" si="3"/>
        <v/>
      </c>
      <c r="V14" t="str">
        <f t="shared" si="4"/>
        <v/>
      </c>
      <c r="W14" t="str">
        <f t="shared" si="5"/>
        <v/>
      </c>
      <c r="Z14" t="str">
        <f t="shared" si="6"/>
        <v/>
      </c>
      <c r="AA14" t="str">
        <f t="shared" si="7"/>
        <v/>
      </c>
      <c r="AB14" t="str">
        <f t="shared" si="19"/>
        <v/>
      </c>
      <c r="AI14" t="str">
        <f t="shared" si="8"/>
        <v/>
      </c>
      <c r="AJ14" t="str">
        <f t="shared" si="9"/>
        <v/>
      </c>
      <c r="AM14" t="str">
        <f t="shared" si="10"/>
        <v/>
      </c>
      <c r="AN14" t="str">
        <f t="shared" si="11"/>
        <v/>
      </c>
      <c r="AU14" t="str">
        <f t="shared" si="12"/>
        <v/>
      </c>
      <c r="AV14" t="str">
        <f t="shared" si="13"/>
        <v/>
      </c>
      <c r="AY14" t="str">
        <f t="shared" si="14"/>
        <v/>
      </c>
      <c r="AZ14" t="str">
        <f t="shared" si="15"/>
        <v/>
      </c>
      <c r="BA14" t="str">
        <f t="shared" si="20"/>
        <v/>
      </c>
      <c r="BB14" t="str">
        <f t="shared" si="16"/>
        <v/>
      </c>
      <c r="BC14" t="str">
        <f t="shared" si="17"/>
        <v/>
      </c>
      <c r="BD14" t="str">
        <f t="shared" si="18"/>
        <v/>
      </c>
    </row>
    <row r="15" spans="1:56" x14ac:dyDescent="0.3">
      <c r="A15">
        <v>7</v>
      </c>
      <c r="J15" t="str">
        <f t="shared" si="0"/>
        <v/>
      </c>
      <c r="K15" t="str">
        <f t="shared" si="1"/>
        <v/>
      </c>
      <c r="N15" t="str">
        <f t="shared" si="2"/>
        <v/>
      </c>
      <c r="O15" t="str">
        <f t="shared" si="3"/>
        <v/>
      </c>
      <c r="V15" t="str">
        <f t="shared" si="4"/>
        <v/>
      </c>
      <c r="W15" t="str">
        <f t="shared" si="5"/>
        <v/>
      </c>
      <c r="Z15" t="str">
        <f t="shared" si="6"/>
        <v/>
      </c>
      <c r="AA15" t="str">
        <f t="shared" si="7"/>
        <v/>
      </c>
      <c r="AB15" t="str">
        <f t="shared" si="19"/>
        <v/>
      </c>
      <c r="AI15" t="str">
        <f t="shared" si="8"/>
        <v/>
      </c>
      <c r="AJ15" t="str">
        <f t="shared" si="9"/>
        <v/>
      </c>
      <c r="AM15" t="str">
        <f t="shared" si="10"/>
        <v/>
      </c>
      <c r="AN15" t="str">
        <f t="shared" si="11"/>
        <v/>
      </c>
      <c r="AU15" t="str">
        <f t="shared" si="12"/>
        <v/>
      </c>
      <c r="AV15" t="str">
        <f t="shared" si="13"/>
        <v/>
      </c>
      <c r="AY15" t="str">
        <f t="shared" si="14"/>
        <v/>
      </c>
      <c r="AZ15" t="str">
        <f t="shared" si="15"/>
        <v/>
      </c>
      <c r="BA15" t="str">
        <f t="shared" si="20"/>
        <v/>
      </c>
      <c r="BB15" t="str">
        <f t="shared" si="16"/>
        <v/>
      </c>
      <c r="BC15" t="str">
        <f t="shared" si="17"/>
        <v/>
      </c>
      <c r="BD15" t="str">
        <f t="shared" si="18"/>
        <v/>
      </c>
    </row>
    <row r="16" spans="1:56" x14ac:dyDescent="0.3">
      <c r="A16">
        <v>8</v>
      </c>
      <c r="J16" t="str">
        <f t="shared" si="0"/>
        <v/>
      </c>
      <c r="K16" t="str">
        <f t="shared" si="1"/>
        <v/>
      </c>
      <c r="N16" t="str">
        <f t="shared" si="2"/>
        <v/>
      </c>
      <c r="O16" t="str">
        <f t="shared" si="3"/>
        <v/>
      </c>
      <c r="V16" t="str">
        <f t="shared" si="4"/>
        <v/>
      </c>
      <c r="W16" t="str">
        <f t="shared" si="5"/>
        <v/>
      </c>
      <c r="Z16" t="str">
        <f t="shared" si="6"/>
        <v/>
      </c>
      <c r="AA16" t="str">
        <f t="shared" si="7"/>
        <v/>
      </c>
      <c r="AB16" t="str">
        <f t="shared" si="19"/>
        <v/>
      </c>
      <c r="AI16" t="str">
        <f t="shared" si="8"/>
        <v/>
      </c>
      <c r="AJ16" t="str">
        <f t="shared" si="9"/>
        <v/>
      </c>
      <c r="AM16" t="str">
        <f t="shared" si="10"/>
        <v/>
      </c>
      <c r="AN16" t="str">
        <f t="shared" si="11"/>
        <v/>
      </c>
      <c r="AU16" t="str">
        <f t="shared" si="12"/>
        <v/>
      </c>
      <c r="AV16" t="str">
        <f t="shared" si="13"/>
        <v/>
      </c>
      <c r="AY16" t="str">
        <f t="shared" si="14"/>
        <v/>
      </c>
      <c r="AZ16" t="str">
        <f t="shared" si="15"/>
        <v/>
      </c>
      <c r="BA16" t="str">
        <f t="shared" si="20"/>
        <v/>
      </c>
      <c r="BB16" t="str">
        <f t="shared" si="16"/>
        <v/>
      </c>
      <c r="BC16" t="str">
        <f t="shared" si="17"/>
        <v/>
      </c>
      <c r="BD16" t="str">
        <f t="shared" si="18"/>
        <v/>
      </c>
    </row>
    <row r="17" spans="1:56" x14ac:dyDescent="0.3">
      <c r="A17">
        <v>9</v>
      </c>
      <c r="J17" t="str">
        <f t="shared" si="0"/>
        <v/>
      </c>
      <c r="K17" t="str">
        <f t="shared" si="1"/>
        <v/>
      </c>
      <c r="N17" t="str">
        <f t="shared" si="2"/>
        <v/>
      </c>
      <c r="O17" t="str">
        <f t="shared" si="3"/>
        <v/>
      </c>
      <c r="V17" t="str">
        <f t="shared" si="4"/>
        <v/>
      </c>
      <c r="W17" t="str">
        <f t="shared" si="5"/>
        <v/>
      </c>
      <c r="Z17" t="str">
        <f t="shared" si="6"/>
        <v/>
      </c>
      <c r="AA17" t="str">
        <f t="shared" si="7"/>
        <v/>
      </c>
      <c r="AB17" t="str">
        <f t="shared" si="19"/>
        <v/>
      </c>
      <c r="AI17" t="str">
        <f t="shared" si="8"/>
        <v/>
      </c>
      <c r="AJ17" t="str">
        <f t="shared" si="9"/>
        <v/>
      </c>
      <c r="AM17" t="str">
        <f t="shared" si="10"/>
        <v/>
      </c>
      <c r="AN17" t="str">
        <f t="shared" si="11"/>
        <v/>
      </c>
      <c r="AU17" t="str">
        <f t="shared" si="12"/>
        <v/>
      </c>
      <c r="AV17" t="str">
        <f t="shared" si="13"/>
        <v/>
      </c>
      <c r="AY17" t="str">
        <f t="shared" si="14"/>
        <v/>
      </c>
      <c r="AZ17" t="str">
        <f t="shared" si="15"/>
        <v/>
      </c>
      <c r="BA17" t="str">
        <f t="shared" si="20"/>
        <v/>
      </c>
      <c r="BB17" t="str">
        <f t="shared" si="16"/>
        <v/>
      </c>
      <c r="BC17" t="str">
        <f t="shared" si="17"/>
        <v/>
      </c>
      <c r="BD17" t="str">
        <f t="shared" si="18"/>
        <v/>
      </c>
    </row>
    <row r="18" spans="1:56" x14ac:dyDescent="0.3">
      <c r="A18">
        <v>10</v>
      </c>
      <c r="J18" t="str">
        <f t="shared" si="0"/>
        <v/>
      </c>
      <c r="K18" t="str">
        <f t="shared" si="1"/>
        <v/>
      </c>
      <c r="N18" t="str">
        <f t="shared" si="2"/>
        <v/>
      </c>
      <c r="O18" t="str">
        <f t="shared" si="3"/>
        <v/>
      </c>
      <c r="V18" t="str">
        <f t="shared" si="4"/>
        <v/>
      </c>
      <c r="W18" t="str">
        <f t="shared" si="5"/>
        <v/>
      </c>
      <c r="Z18" t="str">
        <f t="shared" si="6"/>
        <v/>
      </c>
      <c r="AA18" t="str">
        <f t="shared" si="7"/>
        <v/>
      </c>
      <c r="AB18" t="str">
        <f t="shared" si="19"/>
        <v/>
      </c>
      <c r="AI18" t="str">
        <f t="shared" si="8"/>
        <v/>
      </c>
      <c r="AJ18" t="str">
        <f t="shared" si="9"/>
        <v/>
      </c>
      <c r="AM18" t="str">
        <f t="shared" si="10"/>
        <v/>
      </c>
      <c r="AN18" t="str">
        <f t="shared" si="11"/>
        <v/>
      </c>
      <c r="AU18" t="str">
        <f t="shared" si="12"/>
        <v/>
      </c>
      <c r="AV18" t="str">
        <f t="shared" si="13"/>
        <v/>
      </c>
      <c r="AY18" t="str">
        <f t="shared" si="14"/>
        <v/>
      </c>
      <c r="AZ18" t="str">
        <f t="shared" si="15"/>
        <v/>
      </c>
      <c r="BA18" t="str">
        <f t="shared" si="20"/>
        <v/>
      </c>
      <c r="BB18" t="str">
        <f t="shared" si="16"/>
        <v/>
      </c>
      <c r="BC18" t="str">
        <f t="shared" si="17"/>
        <v/>
      </c>
      <c r="BD18" t="str">
        <f t="shared" si="18"/>
        <v/>
      </c>
    </row>
    <row r="19" spans="1:56" x14ac:dyDescent="0.3">
      <c r="A19">
        <v>11</v>
      </c>
      <c r="J19" t="str">
        <f t="shared" si="0"/>
        <v/>
      </c>
      <c r="K19" t="str">
        <f t="shared" si="1"/>
        <v/>
      </c>
      <c r="N19" t="str">
        <f t="shared" si="2"/>
        <v/>
      </c>
      <c r="O19" t="str">
        <f t="shared" si="3"/>
        <v/>
      </c>
      <c r="V19" t="str">
        <f t="shared" si="4"/>
        <v/>
      </c>
      <c r="W19" t="str">
        <f t="shared" si="5"/>
        <v/>
      </c>
      <c r="Z19" t="str">
        <f t="shared" si="6"/>
        <v/>
      </c>
      <c r="AA19" t="str">
        <f t="shared" si="7"/>
        <v/>
      </c>
      <c r="AB19" t="str">
        <f t="shared" si="19"/>
        <v/>
      </c>
      <c r="AI19" t="str">
        <f t="shared" si="8"/>
        <v/>
      </c>
      <c r="AJ19" t="str">
        <f t="shared" si="9"/>
        <v/>
      </c>
      <c r="AM19" t="str">
        <f t="shared" si="10"/>
        <v/>
      </c>
      <c r="AN19" t="str">
        <f t="shared" si="11"/>
        <v/>
      </c>
      <c r="AU19" t="str">
        <f t="shared" si="12"/>
        <v/>
      </c>
      <c r="AV19" t="str">
        <f t="shared" si="13"/>
        <v/>
      </c>
      <c r="AY19" t="str">
        <f t="shared" si="14"/>
        <v/>
      </c>
      <c r="AZ19" t="str">
        <f t="shared" si="15"/>
        <v/>
      </c>
      <c r="BA19" t="str">
        <f t="shared" si="20"/>
        <v/>
      </c>
      <c r="BB19" t="str">
        <f t="shared" si="16"/>
        <v/>
      </c>
      <c r="BC19" t="str">
        <f t="shared" si="17"/>
        <v/>
      </c>
      <c r="BD19" t="str">
        <f t="shared" si="18"/>
        <v/>
      </c>
    </row>
    <row r="20" spans="1:56" x14ac:dyDescent="0.3">
      <c r="A20">
        <v>12</v>
      </c>
      <c r="J20" t="str">
        <f t="shared" si="0"/>
        <v/>
      </c>
      <c r="K20" t="str">
        <f t="shared" si="1"/>
        <v/>
      </c>
      <c r="N20" t="str">
        <f t="shared" si="2"/>
        <v/>
      </c>
      <c r="O20" t="str">
        <f t="shared" si="3"/>
        <v/>
      </c>
      <c r="V20" t="str">
        <f t="shared" si="4"/>
        <v/>
      </c>
      <c r="W20" t="str">
        <f t="shared" si="5"/>
        <v/>
      </c>
      <c r="Z20" t="str">
        <f t="shared" si="6"/>
        <v/>
      </c>
      <c r="AA20" t="str">
        <f t="shared" si="7"/>
        <v/>
      </c>
      <c r="AB20" t="str">
        <f t="shared" si="19"/>
        <v/>
      </c>
      <c r="AI20" t="str">
        <f t="shared" si="8"/>
        <v/>
      </c>
      <c r="AJ20" t="str">
        <f t="shared" si="9"/>
        <v/>
      </c>
      <c r="AM20" t="str">
        <f t="shared" si="10"/>
        <v/>
      </c>
      <c r="AN20" t="str">
        <f t="shared" si="11"/>
        <v/>
      </c>
      <c r="AU20" t="str">
        <f t="shared" si="12"/>
        <v/>
      </c>
      <c r="AV20" t="str">
        <f t="shared" si="13"/>
        <v/>
      </c>
      <c r="AY20" t="str">
        <f t="shared" si="14"/>
        <v/>
      </c>
      <c r="AZ20" t="str">
        <f t="shared" si="15"/>
        <v/>
      </c>
      <c r="BA20" t="str">
        <f t="shared" si="20"/>
        <v/>
      </c>
      <c r="BB20" t="str">
        <f t="shared" si="16"/>
        <v/>
      </c>
      <c r="BC20" t="str">
        <f t="shared" si="17"/>
        <v/>
      </c>
      <c r="BD20" t="str">
        <f t="shared" si="18"/>
        <v/>
      </c>
    </row>
    <row r="21" spans="1:56" x14ac:dyDescent="0.3">
      <c r="A21">
        <v>13</v>
      </c>
      <c r="J21" t="str">
        <f t="shared" si="0"/>
        <v/>
      </c>
      <c r="K21" t="str">
        <f t="shared" si="1"/>
        <v/>
      </c>
      <c r="N21" t="str">
        <f t="shared" si="2"/>
        <v/>
      </c>
      <c r="O21" t="str">
        <f t="shared" si="3"/>
        <v/>
      </c>
      <c r="V21" t="str">
        <f t="shared" si="4"/>
        <v/>
      </c>
      <c r="W21" t="str">
        <f t="shared" si="5"/>
        <v/>
      </c>
      <c r="Z21" t="str">
        <f t="shared" si="6"/>
        <v/>
      </c>
      <c r="AA21" t="str">
        <f t="shared" si="7"/>
        <v/>
      </c>
      <c r="AB21" t="str">
        <f t="shared" si="19"/>
        <v/>
      </c>
      <c r="AI21" t="str">
        <f t="shared" si="8"/>
        <v/>
      </c>
      <c r="AJ21" t="str">
        <f t="shared" si="9"/>
        <v/>
      </c>
      <c r="AM21" t="str">
        <f t="shared" si="10"/>
        <v/>
      </c>
      <c r="AN21" t="str">
        <f t="shared" si="11"/>
        <v/>
      </c>
      <c r="AU21" t="str">
        <f t="shared" si="12"/>
        <v/>
      </c>
      <c r="AV21" t="str">
        <f t="shared" si="13"/>
        <v/>
      </c>
      <c r="AY21" t="str">
        <f t="shared" si="14"/>
        <v/>
      </c>
      <c r="AZ21" t="str">
        <f t="shared" si="15"/>
        <v/>
      </c>
      <c r="BA21" t="str">
        <f t="shared" si="20"/>
        <v/>
      </c>
      <c r="BB21" t="str">
        <f t="shared" si="16"/>
        <v/>
      </c>
      <c r="BC21" t="str">
        <f t="shared" si="17"/>
        <v/>
      </c>
      <c r="BD21" t="str">
        <f t="shared" si="18"/>
        <v/>
      </c>
    </row>
    <row r="22" spans="1:56" x14ac:dyDescent="0.3">
      <c r="A22">
        <v>14</v>
      </c>
      <c r="J22" t="str">
        <f t="shared" si="0"/>
        <v/>
      </c>
      <c r="K22" t="str">
        <f t="shared" si="1"/>
        <v/>
      </c>
      <c r="N22" t="str">
        <f t="shared" si="2"/>
        <v/>
      </c>
      <c r="O22" t="str">
        <f t="shared" si="3"/>
        <v/>
      </c>
      <c r="V22" t="str">
        <f t="shared" si="4"/>
        <v/>
      </c>
      <c r="W22" t="str">
        <f t="shared" si="5"/>
        <v/>
      </c>
      <c r="Z22" t="str">
        <f t="shared" si="6"/>
        <v/>
      </c>
      <c r="AA22" t="str">
        <f t="shared" si="7"/>
        <v/>
      </c>
      <c r="AB22" t="str">
        <f t="shared" si="19"/>
        <v/>
      </c>
      <c r="AI22" t="str">
        <f t="shared" si="8"/>
        <v/>
      </c>
      <c r="AJ22" t="str">
        <f t="shared" si="9"/>
        <v/>
      </c>
      <c r="AM22" t="str">
        <f t="shared" si="10"/>
        <v/>
      </c>
      <c r="AN22" t="str">
        <f t="shared" si="11"/>
        <v/>
      </c>
      <c r="AU22" t="str">
        <f t="shared" si="12"/>
        <v/>
      </c>
      <c r="AV22" t="str">
        <f t="shared" si="13"/>
        <v/>
      </c>
      <c r="AY22" t="str">
        <f t="shared" si="14"/>
        <v/>
      </c>
      <c r="AZ22" t="str">
        <f t="shared" si="15"/>
        <v/>
      </c>
      <c r="BA22" t="str">
        <f t="shared" si="20"/>
        <v/>
      </c>
      <c r="BB22" t="str">
        <f t="shared" si="16"/>
        <v/>
      </c>
      <c r="BC22" t="str">
        <f t="shared" si="17"/>
        <v/>
      </c>
      <c r="BD22" t="str">
        <f t="shared" si="18"/>
        <v/>
      </c>
    </row>
    <row r="23" spans="1:56" x14ac:dyDescent="0.3">
      <c r="A23">
        <v>15</v>
      </c>
      <c r="J23" t="str">
        <f t="shared" si="0"/>
        <v/>
      </c>
      <c r="K23" t="str">
        <f t="shared" si="1"/>
        <v/>
      </c>
      <c r="N23" t="str">
        <f t="shared" si="2"/>
        <v/>
      </c>
      <c r="O23" t="str">
        <f t="shared" si="3"/>
        <v/>
      </c>
      <c r="V23" t="str">
        <f t="shared" si="4"/>
        <v/>
      </c>
      <c r="W23" t="str">
        <f t="shared" si="5"/>
        <v/>
      </c>
      <c r="Z23" t="str">
        <f t="shared" si="6"/>
        <v/>
      </c>
      <c r="AA23" t="str">
        <f t="shared" si="7"/>
        <v/>
      </c>
      <c r="AB23" t="str">
        <f t="shared" si="19"/>
        <v/>
      </c>
      <c r="AI23" t="str">
        <f t="shared" si="8"/>
        <v/>
      </c>
      <c r="AJ23" t="str">
        <f t="shared" si="9"/>
        <v/>
      </c>
      <c r="AM23" t="str">
        <f t="shared" si="10"/>
        <v/>
      </c>
      <c r="AN23" t="str">
        <f t="shared" si="11"/>
        <v/>
      </c>
      <c r="AU23" t="str">
        <f t="shared" si="12"/>
        <v/>
      </c>
      <c r="AV23" t="str">
        <f t="shared" si="13"/>
        <v/>
      </c>
      <c r="AY23" t="str">
        <f t="shared" si="14"/>
        <v/>
      </c>
      <c r="AZ23" t="str">
        <f t="shared" si="15"/>
        <v/>
      </c>
      <c r="BA23" t="str">
        <f t="shared" si="20"/>
        <v/>
      </c>
      <c r="BB23" t="str">
        <f t="shared" si="16"/>
        <v/>
      </c>
      <c r="BC23" t="str">
        <f t="shared" si="17"/>
        <v/>
      </c>
      <c r="BD23" t="str">
        <f t="shared" si="18"/>
        <v/>
      </c>
    </row>
    <row r="24" spans="1:56" x14ac:dyDescent="0.3">
      <c r="A24">
        <v>16</v>
      </c>
      <c r="J24" t="str">
        <f t="shared" si="0"/>
        <v/>
      </c>
      <c r="K24" t="str">
        <f t="shared" si="1"/>
        <v/>
      </c>
      <c r="N24" t="str">
        <f t="shared" si="2"/>
        <v/>
      </c>
      <c r="O24" t="str">
        <f t="shared" si="3"/>
        <v/>
      </c>
      <c r="V24" t="str">
        <f t="shared" si="4"/>
        <v/>
      </c>
      <c r="W24" t="str">
        <f t="shared" si="5"/>
        <v/>
      </c>
      <c r="Z24" t="str">
        <f t="shared" si="6"/>
        <v/>
      </c>
      <c r="AA24" t="str">
        <f t="shared" si="7"/>
        <v/>
      </c>
      <c r="AB24" t="str">
        <f t="shared" si="19"/>
        <v/>
      </c>
      <c r="AI24" t="str">
        <f t="shared" si="8"/>
        <v/>
      </c>
      <c r="AJ24" t="str">
        <f t="shared" si="9"/>
        <v/>
      </c>
      <c r="AM24" t="str">
        <f t="shared" si="10"/>
        <v/>
      </c>
      <c r="AN24" t="str">
        <f t="shared" si="11"/>
        <v/>
      </c>
      <c r="AU24" t="str">
        <f t="shared" si="12"/>
        <v/>
      </c>
      <c r="AV24" t="str">
        <f t="shared" si="13"/>
        <v/>
      </c>
      <c r="AY24" t="str">
        <f t="shared" si="14"/>
        <v/>
      </c>
      <c r="AZ24" t="str">
        <f t="shared" si="15"/>
        <v/>
      </c>
      <c r="BA24" t="str">
        <f t="shared" si="20"/>
        <v/>
      </c>
      <c r="BB24" t="str">
        <f t="shared" si="16"/>
        <v/>
      </c>
      <c r="BC24" t="str">
        <f t="shared" si="17"/>
        <v/>
      </c>
      <c r="BD24" t="str">
        <f t="shared" si="18"/>
        <v/>
      </c>
    </row>
    <row r="25" spans="1:56" x14ac:dyDescent="0.3">
      <c r="A25">
        <v>17</v>
      </c>
      <c r="J25" t="str">
        <f t="shared" si="0"/>
        <v/>
      </c>
      <c r="K25" t="str">
        <f t="shared" si="1"/>
        <v/>
      </c>
      <c r="N25" t="str">
        <f t="shared" si="2"/>
        <v/>
      </c>
      <c r="O25" t="str">
        <f t="shared" si="3"/>
        <v/>
      </c>
      <c r="V25" t="str">
        <f t="shared" si="4"/>
        <v/>
      </c>
      <c r="W25" t="str">
        <f t="shared" si="5"/>
        <v/>
      </c>
      <c r="Z25" t="str">
        <f t="shared" si="6"/>
        <v/>
      </c>
      <c r="AA25" t="str">
        <f t="shared" si="7"/>
        <v/>
      </c>
      <c r="AB25" t="str">
        <f t="shared" si="19"/>
        <v/>
      </c>
      <c r="AI25" t="str">
        <f t="shared" si="8"/>
        <v/>
      </c>
      <c r="AJ25" t="str">
        <f t="shared" si="9"/>
        <v/>
      </c>
      <c r="AM25" t="str">
        <f t="shared" si="10"/>
        <v/>
      </c>
      <c r="AN25" t="str">
        <f t="shared" si="11"/>
        <v/>
      </c>
      <c r="AU25" t="str">
        <f t="shared" si="12"/>
        <v/>
      </c>
      <c r="AV25" t="str">
        <f t="shared" si="13"/>
        <v/>
      </c>
      <c r="AY25" t="str">
        <f t="shared" si="14"/>
        <v/>
      </c>
      <c r="AZ25" t="str">
        <f t="shared" si="15"/>
        <v/>
      </c>
      <c r="BA25" t="str">
        <f t="shared" si="20"/>
        <v/>
      </c>
      <c r="BB25" t="str">
        <f t="shared" si="16"/>
        <v/>
      </c>
      <c r="BC25" t="str">
        <f t="shared" si="17"/>
        <v/>
      </c>
      <c r="BD25" t="str">
        <f t="shared" si="18"/>
        <v/>
      </c>
    </row>
    <row r="26" spans="1:56" x14ac:dyDescent="0.3">
      <c r="A26">
        <v>18</v>
      </c>
      <c r="J26" t="str">
        <f t="shared" si="0"/>
        <v/>
      </c>
      <c r="K26" t="str">
        <f t="shared" si="1"/>
        <v/>
      </c>
      <c r="N26" t="str">
        <f t="shared" si="2"/>
        <v/>
      </c>
      <c r="O26" t="str">
        <f t="shared" si="3"/>
        <v/>
      </c>
      <c r="V26" t="str">
        <f t="shared" si="4"/>
        <v/>
      </c>
      <c r="W26" t="str">
        <f t="shared" si="5"/>
        <v/>
      </c>
      <c r="Z26" t="str">
        <f t="shared" si="6"/>
        <v/>
      </c>
      <c r="AA26" t="str">
        <f t="shared" si="7"/>
        <v/>
      </c>
      <c r="AB26" t="str">
        <f t="shared" si="19"/>
        <v/>
      </c>
      <c r="AI26" t="str">
        <f t="shared" si="8"/>
        <v/>
      </c>
      <c r="AJ26" t="str">
        <f t="shared" si="9"/>
        <v/>
      </c>
      <c r="AM26" t="str">
        <f t="shared" si="10"/>
        <v/>
      </c>
      <c r="AN26" t="str">
        <f t="shared" si="11"/>
        <v/>
      </c>
      <c r="AU26" t="str">
        <f t="shared" si="12"/>
        <v/>
      </c>
      <c r="AV26" t="str">
        <f t="shared" si="13"/>
        <v/>
      </c>
      <c r="AY26" t="str">
        <f t="shared" si="14"/>
        <v/>
      </c>
      <c r="AZ26" t="str">
        <f t="shared" si="15"/>
        <v/>
      </c>
      <c r="BA26" t="str">
        <f t="shared" si="20"/>
        <v/>
      </c>
      <c r="BB26" t="str">
        <f t="shared" si="16"/>
        <v/>
      </c>
      <c r="BC26" t="str">
        <f t="shared" si="17"/>
        <v/>
      </c>
      <c r="BD26" t="str">
        <f t="shared" si="18"/>
        <v/>
      </c>
    </row>
    <row r="27" spans="1:56" x14ac:dyDescent="0.3">
      <c r="A27">
        <v>19</v>
      </c>
      <c r="J27" t="str">
        <f t="shared" si="0"/>
        <v/>
      </c>
      <c r="K27" t="str">
        <f t="shared" si="1"/>
        <v/>
      </c>
      <c r="N27" t="str">
        <f t="shared" si="2"/>
        <v/>
      </c>
      <c r="O27" t="str">
        <f t="shared" si="3"/>
        <v/>
      </c>
      <c r="V27" t="str">
        <f t="shared" si="4"/>
        <v/>
      </c>
      <c r="W27" t="str">
        <f t="shared" si="5"/>
        <v/>
      </c>
      <c r="Z27" t="str">
        <f t="shared" si="6"/>
        <v/>
      </c>
      <c r="AA27" t="str">
        <f t="shared" si="7"/>
        <v/>
      </c>
      <c r="AB27" t="str">
        <f t="shared" si="19"/>
        <v/>
      </c>
      <c r="AI27" t="str">
        <f t="shared" si="8"/>
        <v/>
      </c>
      <c r="AJ27" t="str">
        <f t="shared" si="9"/>
        <v/>
      </c>
      <c r="AM27" t="str">
        <f t="shared" si="10"/>
        <v/>
      </c>
      <c r="AN27" t="str">
        <f t="shared" si="11"/>
        <v/>
      </c>
      <c r="AU27" t="str">
        <f t="shared" si="12"/>
        <v/>
      </c>
      <c r="AV27" t="str">
        <f t="shared" si="13"/>
        <v/>
      </c>
      <c r="AY27" t="str">
        <f t="shared" si="14"/>
        <v/>
      </c>
      <c r="AZ27" t="str">
        <f t="shared" si="15"/>
        <v/>
      </c>
      <c r="BA27" t="str">
        <f t="shared" si="20"/>
        <v/>
      </c>
      <c r="BB27" t="str">
        <f t="shared" si="16"/>
        <v/>
      </c>
      <c r="BC27" t="str">
        <f t="shared" si="17"/>
        <v/>
      </c>
      <c r="BD27" t="str">
        <f t="shared" si="18"/>
        <v/>
      </c>
    </row>
    <row r="28" spans="1:56" x14ac:dyDescent="0.3">
      <c r="A28">
        <v>20</v>
      </c>
      <c r="J28" t="str">
        <f t="shared" si="0"/>
        <v/>
      </c>
      <c r="K28" t="str">
        <f t="shared" si="1"/>
        <v/>
      </c>
      <c r="N28" t="str">
        <f t="shared" si="2"/>
        <v/>
      </c>
      <c r="O28" t="str">
        <f t="shared" si="3"/>
        <v/>
      </c>
      <c r="V28" t="str">
        <f t="shared" si="4"/>
        <v/>
      </c>
      <c r="W28" t="str">
        <f t="shared" si="5"/>
        <v/>
      </c>
      <c r="Z28" t="str">
        <f t="shared" si="6"/>
        <v/>
      </c>
      <c r="AA28" t="str">
        <f t="shared" si="7"/>
        <v/>
      </c>
      <c r="AB28" t="str">
        <f t="shared" si="19"/>
        <v/>
      </c>
      <c r="AI28" t="str">
        <f t="shared" si="8"/>
        <v/>
      </c>
      <c r="AJ28" t="str">
        <f t="shared" si="9"/>
        <v/>
      </c>
      <c r="AM28" t="str">
        <f t="shared" si="10"/>
        <v/>
      </c>
      <c r="AN28" t="str">
        <f t="shared" si="11"/>
        <v/>
      </c>
      <c r="AU28" t="str">
        <f t="shared" si="12"/>
        <v/>
      </c>
      <c r="AV28" t="str">
        <f t="shared" si="13"/>
        <v/>
      </c>
      <c r="AY28" t="str">
        <f t="shared" si="14"/>
        <v/>
      </c>
      <c r="AZ28" t="str">
        <f t="shared" si="15"/>
        <v/>
      </c>
      <c r="BA28" t="str">
        <f t="shared" si="20"/>
        <v/>
      </c>
      <c r="BB28" t="str">
        <f t="shared" si="16"/>
        <v/>
      </c>
      <c r="BC28" t="str">
        <f t="shared" si="17"/>
        <v/>
      </c>
      <c r="BD28" t="str">
        <f t="shared" si="18"/>
        <v/>
      </c>
    </row>
    <row r="29" spans="1:56" x14ac:dyDescent="0.3">
      <c r="A29">
        <v>21</v>
      </c>
      <c r="J29" t="str">
        <f t="shared" si="0"/>
        <v/>
      </c>
      <c r="K29" t="str">
        <f t="shared" si="1"/>
        <v/>
      </c>
      <c r="N29" t="str">
        <f t="shared" si="2"/>
        <v/>
      </c>
      <c r="O29" t="str">
        <f t="shared" si="3"/>
        <v/>
      </c>
      <c r="V29" t="str">
        <f t="shared" si="4"/>
        <v/>
      </c>
      <c r="W29" t="str">
        <f t="shared" si="5"/>
        <v/>
      </c>
      <c r="Z29" t="str">
        <f t="shared" si="6"/>
        <v/>
      </c>
      <c r="AA29" t="str">
        <f t="shared" si="7"/>
        <v/>
      </c>
      <c r="AB29" t="str">
        <f t="shared" si="19"/>
        <v/>
      </c>
      <c r="AI29" t="str">
        <f t="shared" si="8"/>
        <v/>
      </c>
      <c r="AJ29" t="str">
        <f t="shared" si="9"/>
        <v/>
      </c>
      <c r="AM29" t="str">
        <f t="shared" si="10"/>
        <v/>
      </c>
      <c r="AN29" t="str">
        <f t="shared" si="11"/>
        <v/>
      </c>
      <c r="AU29" t="str">
        <f t="shared" si="12"/>
        <v/>
      </c>
      <c r="AV29" t="str">
        <f t="shared" si="13"/>
        <v/>
      </c>
      <c r="AY29" t="str">
        <f t="shared" si="14"/>
        <v/>
      </c>
      <c r="AZ29" t="str">
        <f t="shared" si="15"/>
        <v/>
      </c>
      <c r="BA29" t="str">
        <f t="shared" si="20"/>
        <v/>
      </c>
      <c r="BB29" t="str">
        <f t="shared" si="16"/>
        <v/>
      </c>
      <c r="BC29" t="str">
        <f t="shared" si="17"/>
        <v/>
      </c>
      <c r="BD29" t="str">
        <f t="shared" si="18"/>
        <v/>
      </c>
    </row>
    <row r="30" spans="1:56" x14ac:dyDescent="0.3">
      <c r="A30">
        <v>22</v>
      </c>
      <c r="J30" t="str">
        <f t="shared" si="0"/>
        <v/>
      </c>
      <c r="K30" t="str">
        <f t="shared" si="1"/>
        <v/>
      </c>
      <c r="N30" t="str">
        <f t="shared" si="2"/>
        <v/>
      </c>
      <c r="O30" t="str">
        <f t="shared" si="3"/>
        <v/>
      </c>
      <c r="V30" t="str">
        <f t="shared" si="4"/>
        <v/>
      </c>
      <c r="W30" t="str">
        <f t="shared" si="5"/>
        <v/>
      </c>
      <c r="Z30" t="str">
        <f t="shared" si="6"/>
        <v/>
      </c>
      <c r="AA30" t="str">
        <f t="shared" si="7"/>
        <v/>
      </c>
      <c r="AB30" t="str">
        <f t="shared" si="19"/>
        <v/>
      </c>
      <c r="AI30" t="str">
        <f t="shared" si="8"/>
        <v/>
      </c>
      <c r="AJ30" t="str">
        <f t="shared" si="9"/>
        <v/>
      </c>
      <c r="AM30" t="str">
        <f t="shared" si="10"/>
        <v/>
      </c>
      <c r="AN30" t="str">
        <f t="shared" si="11"/>
        <v/>
      </c>
      <c r="AU30" t="str">
        <f t="shared" si="12"/>
        <v/>
      </c>
      <c r="AV30" t="str">
        <f t="shared" si="13"/>
        <v/>
      </c>
      <c r="AY30" t="str">
        <f t="shared" si="14"/>
        <v/>
      </c>
      <c r="AZ30" t="str">
        <f t="shared" si="15"/>
        <v/>
      </c>
      <c r="BA30" t="str">
        <f t="shared" si="20"/>
        <v/>
      </c>
      <c r="BB30" t="str">
        <f t="shared" si="16"/>
        <v/>
      </c>
      <c r="BC30" t="str">
        <f t="shared" si="17"/>
        <v/>
      </c>
      <c r="BD30" t="str">
        <f t="shared" si="18"/>
        <v/>
      </c>
    </row>
    <row r="31" spans="1:56" x14ac:dyDescent="0.3">
      <c r="A31">
        <v>23</v>
      </c>
      <c r="J31" t="str">
        <f t="shared" si="0"/>
        <v/>
      </c>
      <c r="K31" t="str">
        <f t="shared" si="1"/>
        <v/>
      </c>
      <c r="N31" t="str">
        <f t="shared" si="2"/>
        <v/>
      </c>
      <c r="O31" t="str">
        <f t="shared" si="3"/>
        <v/>
      </c>
      <c r="V31" t="str">
        <f t="shared" si="4"/>
        <v/>
      </c>
      <c r="W31" t="str">
        <f t="shared" si="5"/>
        <v/>
      </c>
      <c r="Z31" t="str">
        <f t="shared" si="6"/>
        <v/>
      </c>
      <c r="AA31" t="str">
        <f t="shared" si="7"/>
        <v/>
      </c>
      <c r="AB31" t="str">
        <f t="shared" si="19"/>
        <v/>
      </c>
      <c r="AI31" t="str">
        <f t="shared" si="8"/>
        <v/>
      </c>
      <c r="AJ31" t="str">
        <f t="shared" si="9"/>
        <v/>
      </c>
      <c r="AM31" t="str">
        <f t="shared" si="10"/>
        <v/>
      </c>
      <c r="AN31" t="str">
        <f t="shared" si="11"/>
        <v/>
      </c>
      <c r="AU31" t="str">
        <f t="shared" si="12"/>
        <v/>
      </c>
      <c r="AV31" t="str">
        <f t="shared" si="13"/>
        <v/>
      </c>
      <c r="AY31" t="str">
        <f t="shared" si="14"/>
        <v/>
      </c>
      <c r="AZ31" t="str">
        <f t="shared" si="15"/>
        <v/>
      </c>
      <c r="BA31" t="str">
        <f t="shared" si="20"/>
        <v/>
      </c>
      <c r="BB31" t="str">
        <f t="shared" si="16"/>
        <v/>
      </c>
      <c r="BC31" t="str">
        <f t="shared" si="17"/>
        <v/>
      </c>
      <c r="BD31" t="str">
        <f t="shared" si="18"/>
        <v/>
      </c>
    </row>
    <row r="32" spans="1:56" x14ac:dyDescent="0.3">
      <c r="A32">
        <v>24</v>
      </c>
      <c r="J32" t="str">
        <f t="shared" si="0"/>
        <v/>
      </c>
      <c r="K32" t="str">
        <f t="shared" si="1"/>
        <v/>
      </c>
      <c r="N32" t="str">
        <f t="shared" si="2"/>
        <v/>
      </c>
      <c r="O32" t="str">
        <f t="shared" si="3"/>
        <v/>
      </c>
      <c r="V32" t="str">
        <f t="shared" si="4"/>
        <v/>
      </c>
      <c r="W32" t="str">
        <f t="shared" si="5"/>
        <v/>
      </c>
      <c r="Z32" t="str">
        <f t="shared" si="6"/>
        <v/>
      </c>
      <c r="AA32" t="str">
        <f t="shared" si="7"/>
        <v/>
      </c>
      <c r="AB32" t="str">
        <f t="shared" si="19"/>
        <v/>
      </c>
      <c r="AI32" t="str">
        <f t="shared" si="8"/>
        <v/>
      </c>
      <c r="AJ32" t="str">
        <f t="shared" si="9"/>
        <v/>
      </c>
      <c r="AM32" t="str">
        <f t="shared" si="10"/>
        <v/>
      </c>
      <c r="AN32" t="str">
        <f t="shared" si="11"/>
        <v/>
      </c>
      <c r="AU32" t="str">
        <f t="shared" si="12"/>
        <v/>
      </c>
      <c r="AV32" t="str">
        <f t="shared" si="13"/>
        <v/>
      </c>
      <c r="AY32" t="str">
        <f t="shared" si="14"/>
        <v/>
      </c>
      <c r="AZ32" t="str">
        <f t="shared" si="15"/>
        <v/>
      </c>
      <c r="BA32" t="str">
        <f t="shared" si="20"/>
        <v/>
      </c>
      <c r="BB32" t="str">
        <f t="shared" si="16"/>
        <v/>
      </c>
      <c r="BC32" t="str">
        <f t="shared" si="17"/>
        <v/>
      </c>
      <c r="BD32" t="str">
        <f t="shared" si="18"/>
        <v/>
      </c>
    </row>
    <row r="33" spans="1:56" x14ac:dyDescent="0.3">
      <c r="A33">
        <v>25</v>
      </c>
      <c r="J33" t="str">
        <f t="shared" si="0"/>
        <v/>
      </c>
      <c r="K33" t="str">
        <f t="shared" si="1"/>
        <v/>
      </c>
      <c r="N33" t="str">
        <f t="shared" si="2"/>
        <v/>
      </c>
      <c r="O33" t="str">
        <f t="shared" si="3"/>
        <v/>
      </c>
      <c r="V33" t="str">
        <f t="shared" si="4"/>
        <v/>
      </c>
      <c r="W33" t="str">
        <f t="shared" si="5"/>
        <v/>
      </c>
      <c r="Z33" t="str">
        <f t="shared" si="6"/>
        <v/>
      </c>
      <c r="AA33" t="str">
        <f t="shared" si="7"/>
        <v/>
      </c>
      <c r="AB33" t="str">
        <f t="shared" si="19"/>
        <v/>
      </c>
      <c r="AI33" t="str">
        <f t="shared" si="8"/>
        <v/>
      </c>
      <c r="AJ33" t="str">
        <f t="shared" si="9"/>
        <v/>
      </c>
      <c r="AM33" t="str">
        <f t="shared" si="10"/>
        <v/>
      </c>
      <c r="AN33" t="str">
        <f t="shared" si="11"/>
        <v/>
      </c>
      <c r="AU33" t="str">
        <f t="shared" si="12"/>
        <v/>
      </c>
      <c r="AV33" t="str">
        <f t="shared" si="13"/>
        <v/>
      </c>
      <c r="AY33" t="str">
        <f t="shared" si="14"/>
        <v/>
      </c>
      <c r="AZ33" t="str">
        <f t="shared" si="15"/>
        <v/>
      </c>
      <c r="BA33" t="str">
        <f t="shared" si="20"/>
        <v/>
      </c>
      <c r="BB33" t="str">
        <f t="shared" si="16"/>
        <v/>
      </c>
      <c r="BC33" t="str">
        <f t="shared" si="17"/>
        <v/>
      </c>
      <c r="BD33" t="str">
        <f t="shared" si="18"/>
        <v/>
      </c>
    </row>
    <row r="34" spans="1:56" x14ac:dyDescent="0.3">
      <c r="A34">
        <v>26</v>
      </c>
      <c r="J34" t="str">
        <f t="shared" si="0"/>
        <v/>
      </c>
      <c r="K34" t="str">
        <f t="shared" si="1"/>
        <v/>
      </c>
      <c r="N34" t="str">
        <f t="shared" si="2"/>
        <v/>
      </c>
      <c r="O34" t="str">
        <f t="shared" si="3"/>
        <v/>
      </c>
      <c r="V34" t="str">
        <f t="shared" si="4"/>
        <v/>
      </c>
      <c r="W34" t="str">
        <f t="shared" si="5"/>
        <v/>
      </c>
      <c r="Z34" t="str">
        <f t="shared" si="6"/>
        <v/>
      </c>
      <c r="AA34" t="str">
        <f t="shared" si="7"/>
        <v/>
      </c>
      <c r="AB34" t="str">
        <f t="shared" si="19"/>
        <v/>
      </c>
      <c r="AI34" t="str">
        <f t="shared" si="8"/>
        <v/>
      </c>
      <c r="AJ34" t="str">
        <f t="shared" si="9"/>
        <v/>
      </c>
      <c r="AM34" t="str">
        <f t="shared" si="10"/>
        <v/>
      </c>
      <c r="AN34" t="str">
        <f t="shared" si="11"/>
        <v/>
      </c>
      <c r="AU34" t="str">
        <f t="shared" si="12"/>
        <v/>
      </c>
      <c r="AV34" t="str">
        <f t="shared" si="13"/>
        <v/>
      </c>
      <c r="AY34" t="str">
        <f t="shared" si="14"/>
        <v/>
      </c>
      <c r="AZ34" t="str">
        <f t="shared" si="15"/>
        <v/>
      </c>
      <c r="BA34" t="str">
        <f t="shared" si="20"/>
        <v/>
      </c>
      <c r="BB34" t="str">
        <f t="shared" si="16"/>
        <v/>
      </c>
      <c r="BC34" t="str">
        <f t="shared" si="17"/>
        <v/>
      </c>
      <c r="BD34" t="str">
        <f t="shared" si="18"/>
        <v/>
      </c>
    </row>
    <row r="35" spans="1:56" x14ac:dyDescent="0.3">
      <c r="A35">
        <v>27</v>
      </c>
      <c r="J35" t="str">
        <f t="shared" si="0"/>
        <v/>
      </c>
      <c r="K35" t="str">
        <f t="shared" si="1"/>
        <v/>
      </c>
      <c r="N35" t="str">
        <f t="shared" si="2"/>
        <v/>
      </c>
      <c r="O35" t="str">
        <f t="shared" si="3"/>
        <v/>
      </c>
      <c r="V35" t="str">
        <f t="shared" si="4"/>
        <v/>
      </c>
      <c r="W35" t="str">
        <f t="shared" si="5"/>
        <v/>
      </c>
      <c r="Z35" t="str">
        <f t="shared" si="6"/>
        <v/>
      </c>
      <c r="AA35" t="str">
        <f t="shared" si="7"/>
        <v/>
      </c>
      <c r="AB35" t="str">
        <f t="shared" si="19"/>
        <v/>
      </c>
      <c r="AI35" t="str">
        <f t="shared" si="8"/>
        <v/>
      </c>
      <c r="AJ35" t="str">
        <f t="shared" si="9"/>
        <v/>
      </c>
      <c r="AM35" t="str">
        <f t="shared" si="10"/>
        <v/>
      </c>
      <c r="AN35" t="str">
        <f t="shared" si="11"/>
        <v/>
      </c>
      <c r="AU35" t="str">
        <f t="shared" si="12"/>
        <v/>
      </c>
      <c r="AV35" t="str">
        <f t="shared" si="13"/>
        <v/>
      </c>
      <c r="AY35" t="str">
        <f t="shared" si="14"/>
        <v/>
      </c>
      <c r="AZ35" t="str">
        <f t="shared" si="15"/>
        <v/>
      </c>
      <c r="BA35" t="str">
        <f t="shared" si="20"/>
        <v/>
      </c>
      <c r="BB35" t="str">
        <f t="shared" si="16"/>
        <v/>
      </c>
      <c r="BC35" t="str">
        <f t="shared" si="17"/>
        <v/>
      </c>
      <c r="BD35" t="str">
        <f t="shared" si="18"/>
        <v/>
      </c>
    </row>
    <row r="36" spans="1:56" x14ac:dyDescent="0.3">
      <c r="A36">
        <v>28</v>
      </c>
      <c r="J36" t="str">
        <f t="shared" si="0"/>
        <v/>
      </c>
      <c r="K36" t="str">
        <f t="shared" si="1"/>
        <v/>
      </c>
      <c r="N36" t="str">
        <f t="shared" si="2"/>
        <v/>
      </c>
      <c r="O36" t="str">
        <f t="shared" si="3"/>
        <v/>
      </c>
      <c r="V36" t="str">
        <f t="shared" si="4"/>
        <v/>
      </c>
      <c r="W36" t="str">
        <f t="shared" si="5"/>
        <v/>
      </c>
      <c r="Z36" t="str">
        <f t="shared" si="6"/>
        <v/>
      </c>
      <c r="AA36" t="str">
        <f t="shared" si="7"/>
        <v/>
      </c>
      <c r="AB36" t="str">
        <f t="shared" si="19"/>
        <v/>
      </c>
      <c r="AI36" t="str">
        <f t="shared" si="8"/>
        <v/>
      </c>
      <c r="AJ36" t="str">
        <f t="shared" si="9"/>
        <v/>
      </c>
      <c r="AM36" t="str">
        <f t="shared" si="10"/>
        <v/>
      </c>
      <c r="AN36" t="str">
        <f t="shared" si="11"/>
        <v/>
      </c>
      <c r="AU36" t="str">
        <f t="shared" si="12"/>
        <v/>
      </c>
      <c r="AV36" t="str">
        <f t="shared" si="13"/>
        <v/>
      </c>
      <c r="AY36" t="str">
        <f t="shared" si="14"/>
        <v/>
      </c>
      <c r="AZ36" t="str">
        <f t="shared" si="15"/>
        <v/>
      </c>
      <c r="BA36" t="str">
        <f t="shared" si="20"/>
        <v/>
      </c>
      <c r="BB36" t="str">
        <f t="shared" si="16"/>
        <v/>
      </c>
      <c r="BC36" t="str">
        <f t="shared" si="17"/>
        <v/>
      </c>
      <c r="BD36" t="str">
        <f t="shared" si="18"/>
        <v/>
      </c>
    </row>
    <row r="37" spans="1:56" x14ac:dyDescent="0.3">
      <c r="A37">
        <v>29</v>
      </c>
      <c r="J37" t="str">
        <f t="shared" si="0"/>
        <v/>
      </c>
      <c r="K37" t="str">
        <f t="shared" si="1"/>
        <v/>
      </c>
      <c r="N37" t="str">
        <f t="shared" si="2"/>
        <v/>
      </c>
      <c r="O37" t="str">
        <f t="shared" si="3"/>
        <v/>
      </c>
      <c r="V37" t="str">
        <f t="shared" si="4"/>
        <v/>
      </c>
      <c r="W37" t="str">
        <f t="shared" si="5"/>
        <v/>
      </c>
      <c r="Z37" t="str">
        <f t="shared" si="6"/>
        <v/>
      </c>
      <c r="AA37" t="str">
        <f t="shared" si="7"/>
        <v/>
      </c>
      <c r="AB37" t="str">
        <f t="shared" si="19"/>
        <v/>
      </c>
      <c r="AI37" t="str">
        <f t="shared" si="8"/>
        <v/>
      </c>
      <c r="AJ37" t="str">
        <f t="shared" si="9"/>
        <v/>
      </c>
      <c r="AM37" t="str">
        <f t="shared" si="10"/>
        <v/>
      </c>
      <c r="AN37" t="str">
        <f t="shared" si="11"/>
        <v/>
      </c>
      <c r="AU37" t="str">
        <f t="shared" si="12"/>
        <v/>
      </c>
      <c r="AV37" t="str">
        <f t="shared" si="13"/>
        <v/>
      </c>
      <c r="AY37" t="str">
        <f t="shared" si="14"/>
        <v/>
      </c>
      <c r="AZ37" t="str">
        <f t="shared" si="15"/>
        <v/>
      </c>
      <c r="BA37" t="str">
        <f t="shared" si="20"/>
        <v/>
      </c>
      <c r="BB37" t="str">
        <f t="shared" si="16"/>
        <v/>
      </c>
      <c r="BC37" t="str">
        <f t="shared" si="17"/>
        <v/>
      </c>
      <c r="BD37" t="str">
        <f t="shared" si="18"/>
        <v/>
      </c>
    </row>
    <row r="38" spans="1:56" x14ac:dyDescent="0.3">
      <c r="A38">
        <v>30</v>
      </c>
      <c r="J38" t="str">
        <f t="shared" si="0"/>
        <v/>
      </c>
      <c r="K38" t="str">
        <f t="shared" si="1"/>
        <v/>
      </c>
      <c r="N38" t="str">
        <f t="shared" si="2"/>
        <v/>
      </c>
      <c r="O38" t="str">
        <f t="shared" si="3"/>
        <v/>
      </c>
      <c r="V38" t="str">
        <f t="shared" si="4"/>
        <v/>
      </c>
      <c r="W38" t="str">
        <f t="shared" si="5"/>
        <v/>
      </c>
      <c r="Z38" t="str">
        <f t="shared" si="6"/>
        <v/>
      </c>
      <c r="AA38" t="str">
        <f t="shared" si="7"/>
        <v/>
      </c>
      <c r="AB38" t="str">
        <f t="shared" si="19"/>
        <v/>
      </c>
      <c r="AI38" t="str">
        <f t="shared" si="8"/>
        <v/>
      </c>
      <c r="AJ38" t="str">
        <f t="shared" si="9"/>
        <v/>
      </c>
      <c r="AM38" t="str">
        <f t="shared" si="10"/>
        <v/>
      </c>
      <c r="AN38" t="str">
        <f t="shared" si="11"/>
        <v/>
      </c>
      <c r="AU38" t="str">
        <f t="shared" si="12"/>
        <v/>
      </c>
      <c r="AV38" t="str">
        <f t="shared" si="13"/>
        <v/>
      </c>
      <c r="AY38" t="str">
        <f t="shared" si="14"/>
        <v/>
      </c>
      <c r="AZ38" t="str">
        <f t="shared" si="15"/>
        <v/>
      </c>
      <c r="BA38" t="str">
        <f t="shared" si="20"/>
        <v/>
      </c>
      <c r="BB38" t="str">
        <f t="shared" si="16"/>
        <v/>
      </c>
      <c r="BC38" t="str">
        <f t="shared" si="17"/>
        <v/>
      </c>
      <c r="BD38" t="str">
        <f t="shared" si="18"/>
        <v/>
      </c>
    </row>
    <row r="39" spans="1:56" x14ac:dyDescent="0.3">
      <c r="A39">
        <v>31</v>
      </c>
      <c r="J39" t="str">
        <f t="shared" si="0"/>
        <v/>
      </c>
      <c r="K39" t="str">
        <f t="shared" si="1"/>
        <v/>
      </c>
      <c r="N39" t="str">
        <f t="shared" si="2"/>
        <v/>
      </c>
      <c r="O39" t="str">
        <f t="shared" si="3"/>
        <v/>
      </c>
      <c r="V39" t="str">
        <f t="shared" si="4"/>
        <v/>
      </c>
      <c r="W39" t="str">
        <f t="shared" si="5"/>
        <v/>
      </c>
      <c r="Z39" t="str">
        <f t="shared" si="6"/>
        <v/>
      </c>
      <c r="AA39" t="str">
        <f t="shared" si="7"/>
        <v/>
      </c>
      <c r="AB39" t="str">
        <f t="shared" si="19"/>
        <v/>
      </c>
      <c r="AI39" t="str">
        <f t="shared" si="8"/>
        <v/>
      </c>
      <c r="AJ39" t="str">
        <f t="shared" si="9"/>
        <v/>
      </c>
      <c r="AM39" t="str">
        <f t="shared" si="10"/>
        <v/>
      </c>
      <c r="AN39" t="str">
        <f t="shared" si="11"/>
        <v/>
      </c>
      <c r="AU39" t="str">
        <f t="shared" si="12"/>
        <v/>
      </c>
      <c r="AV39" t="str">
        <f t="shared" si="13"/>
        <v/>
      </c>
      <c r="AY39" t="str">
        <f t="shared" si="14"/>
        <v/>
      </c>
      <c r="AZ39" t="str">
        <f t="shared" si="15"/>
        <v/>
      </c>
      <c r="BA39" t="str">
        <f t="shared" si="20"/>
        <v/>
      </c>
      <c r="BB39" t="str">
        <f t="shared" si="16"/>
        <v/>
      </c>
      <c r="BC39" t="str">
        <f t="shared" si="17"/>
        <v/>
      </c>
      <c r="BD39" t="str">
        <f t="shared" si="18"/>
        <v/>
      </c>
    </row>
    <row r="40" spans="1:56" x14ac:dyDescent="0.3">
      <c r="A40">
        <v>32</v>
      </c>
      <c r="J40" t="str">
        <f t="shared" si="0"/>
        <v/>
      </c>
      <c r="K40" t="str">
        <f t="shared" si="1"/>
        <v/>
      </c>
      <c r="N40" t="str">
        <f t="shared" si="2"/>
        <v/>
      </c>
      <c r="O40" t="str">
        <f t="shared" si="3"/>
        <v/>
      </c>
      <c r="V40" t="str">
        <f t="shared" si="4"/>
        <v/>
      </c>
      <c r="W40" t="str">
        <f t="shared" si="5"/>
        <v/>
      </c>
      <c r="Z40" t="str">
        <f t="shared" si="6"/>
        <v/>
      </c>
      <c r="AA40" t="str">
        <f t="shared" si="7"/>
        <v/>
      </c>
      <c r="AB40" t="str">
        <f t="shared" si="19"/>
        <v/>
      </c>
      <c r="AI40" t="str">
        <f t="shared" si="8"/>
        <v/>
      </c>
      <c r="AJ40" t="str">
        <f t="shared" si="9"/>
        <v/>
      </c>
      <c r="AM40" t="str">
        <f t="shared" si="10"/>
        <v/>
      </c>
      <c r="AN40" t="str">
        <f t="shared" si="11"/>
        <v/>
      </c>
      <c r="AU40" t="str">
        <f t="shared" si="12"/>
        <v/>
      </c>
      <c r="AV40" t="str">
        <f t="shared" si="13"/>
        <v/>
      </c>
      <c r="AY40" t="str">
        <f t="shared" si="14"/>
        <v/>
      </c>
      <c r="AZ40" t="str">
        <f t="shared" si="15"/>
        <v/>
      </c>
      <c r="BA40" t="str">
        <f t="shared" si="20"/>
        <v/>
      </c>
      <c r="BB40" t="str">
        <f t="shared" si="16"/>
        <v/>
      </c>
      <c r="BC40" t="str">
        <f t="shared" si="17"/>
        <v/>
      </c>
      <c r="BD40" t="str">
        <f t="shared" si="18"/>
        <v/>
      </c>
    </row>
    <row r="41" spans="1:56" x14ac:dyDescent="0.3">
      <c r="A41">
        <v>33</v>
      </c>
      <c r="J41" t="str">
        <f t="shared" ref="J41:J72" si="21">IF($C41="","",SUM(D41:I41))</f>
        <v/>
      </c>
      <c r="K41" t="str">
        <f t="shared" ref="K41:K72" si="22">IF($C41="","",IF(J$8&gt;0, (J41/J$8)*50, 0))</f>
        <v/>
      </c>
      <c r="N41" t="str">
        <f t="shared" ref="N41:N72" si="23">IF($C41="","",IF(M$8&gt;0, (M41/M$8)*40, 0))</f>
        <v/>
      </c>
      <c r="O41" t="str">
        <f t="shared" ref="O41:O72" si="24">IF($C41="","",ROUND(K41+(L41*0.1)+N41,0))</f>
        <v/>
      </c>
      <c r="V41" t="str">
        <f t="shared" ref="V41:V72" si="25">IF($C41="","",SUM(P41:U41))</f>
        <v/>
      </c>
      <c r="W41" t="str">
        <f t="shared" ref="W41:W72" si="26">IF($C41="","",IF(V$8&gt;0, (V41/V$8)*50, 0))</f>
        <v/>
      </c>
      <c r="Z41" t="str">
        <f t="shared" ref="Z41:Z72" si="27">IF($C41="","",IF(Y$8&gt;0, (Y41/Y$8)*40, 0))</f>
        <v/>
      </c>
      <c r="AA41" t="str">
        <f t="shared" ref="AA41:AA72" si="28">IF($C41="","",ROUND(W41+(X41*0.1)+Z41,0))</f>
        <v/>
      </c>
      <c r="AB41" t="str">
        <f t="shared" ref="AB41:AB72" si="29">IF($C41="","",ROUND(AVERAGE(O41, AA41),0))</f>
        <v/>
      </c>
      <c r="AI41" t="str">
        <f t="shared" ref="AI41:AI72" si="30">IF($C41="","",SUM(AC41:AH41))</f>
        <v/>
      </c>
      <c r="AJ41" t="str">
        <f t="shared" ref="AJ41:AJ72" si="31">IF($C41="","",IF(AI$8&gt;0, (AI41/AI$8)*50, 0))</f>
        <v/>
      </c>
      <c r="AM41" t="str">
        <f t="shared" ref="AM41:AM72" si="32">IF($C41="","",IF(AL$8&gt;0, (AL41/AL$8)*40, 0))</f>
        <v/>
      </c>
      <c r="AN41" t="str">
        <f t="shared" ref="AN41:AN72" si="33">IF($C41="","",ROUND(AJ41+(AK41*0.1)+AM41,0))</f>
        <v/>
      </c>
      <c r="AU41" t="str">
        <f t="shared" ref="AU41:AU72" si="34">IF($C41="","",SUM(AO41:AT41))</f>
        <v/>
      </c>
      <c r="AV41" t="str">
        <f t="shared" ref="AV41:AV72" si="35">IF($C41="","",IF(AU$8&gt;0, (AU41/AU$8)*50, 0))</f>
        <v/>
      </c>
      <c r="AY41" t="str">
        <f t="shared" ref="AY41:AY72" si="36">IF($C41="","",IF(AX$8&gt;0, (AX41/AX$8)*40, 0))</f>
        <v/>
      </c>
      <c r="AZ41" t="str">
        <f t="shared" ref="AZ41:AZ72" si="37">IF($C41="","",ROUND(AV41+(AW41*0.1)+AY41,0))</f>
        <v/>
      </c>
      <c r="BA41" t="str">
        <f t="shared" ref="BA41:BA72" si="38">IF($C41="","",ROUND(AVERAGE(AN41, AZ41),0))</f>
        <v/>
      </c>
      <c r="BB41" t="str">
        <f t="shared" ref="BB41:BB72" si="39">IF($C41="","",ROUND(AVERAGE(AB41, BA41),0))</f>
        <v/>
      </c>
      <c r="BC41" t="str">
        <f t="shared" ref="BC41:BC72" si="40">IF($C41="","",IF(BB41&gt;=98, 1, IF(BB41&gt;=95, 1.25, IF(BB41&gt;=92, 1.5, IF(BB41&gt;=89, 1.75, IF(BB41&gt;=86, 2, IF(BB41&gt;=83, 2.25, IF(BB41&gt;=80, 2.5, IF(BB41&gt;=77, 2.75, IF(BB41&gt;=75, 3, 5))))))))))</f>
        <v/>
      </c>
      <c r="BD41" t="str">
        <f t="shared" ref="BD41:BD72" si="41">IF($C41="","",IF(BC41&lt;=3, "Passed", "Failed"))</f>
        <v/>
      </c>
    </row>
    <row r="42" spans="1:56" x14ac:dyDescent="0.3">
      <c r="A42">
        <v>34</v>
      </c>
      <c r="J42" t="str">
        <f t="shared" si="21"/>
        <v/>
      </c>
      <c r="K42" t="str">
        <f t="shared" si="22"/>
        <v/>
      </c>
      <c r="N42" t="str">
        <f t="shared" si="23"/>
        <v/>
      </c>
      <c r="O42" t="str">
        <f t="shared" si="24"/>
        <v/>
      </c>
      <c r="V42" t="str">
        <f t="shared" si="25"/>
        <v/>
      </c>
      <c r="W42" t="str">
        <f t="shared" si="26"/>
        <v/>
      </c>
      <c r="Z42" t="str">
        <f t="shared" si="27"/>
        <v/>
      </c>
      <c r="AA42" t="str">
        <f t="shared" si="28"/>
        <v/>
      </c>
      <c r="AB42" t="str">
        <f t="shared" si="29"/>
        <v/>
      </c>
      <c r="AI42" t="str">
        <f t="shared" si="30"/>
        <v/>
      </c>
      <c r="AJ42" t="str">
        <f t="shared" si="31"/>
        <v/>
      </c>
      <c r="AM42" t="str">
        <f t="shared" si="32"/>
        <v/>
      </c>
      <c r="AN42" t="str">
        <f t="shared" si="33"/>
        <v/>
      </c>
      <c r="AU42" t="str">
        <f t="shared" si="34"/>
        <v/>
      </c>
      <c r="AV42" t="str">
        <f t="shared" si="35"/>
        <v/>
      </c>
      <c r="AY42" t="str">
        <f t="shared" si="36"/>
        <v/>
      </c>
      <c r="AZ42" t="str">
        <f t="shared" si="37"/>
        <v/>
      </c>
      <c r="BA42" t="str">
        <f t="shared" si="38"/>
        <v/>
      </c>
      <c r="BB42" t="str">
        <f t="shared" si="39"/>
        <v/>
      </c>
      <c r="BC42" t="str">
        <f t="shared" si="40"/>
        <v/>
      </c>
      <c r="BD42" t="str">
        <f t="shared" si="41"/>
        <v/>
      </c>
    </row>
    <row r="43" spans="1:56" x14ac:dyDescent="0.3">
      <c r="A43">
        <v>35</v>
      </c>
      <c r="J43" t="str">
        <f t="shared" si="21"/>
        <v/>
      </c>
      <c r="K43" t="str">
        <f t="shared" si="22"/>
        <v/>
      </c>
      <c r="N43" t="str">
        <f t="shared" si="23"/>
        <v/>
      </c>
      <c r="O43" t="str">
        <f t="shared" si="24"/>
        <v/>
      </c>
      <c r="V43" t="str">
        <f t="shared" si="25"/>
        <v/>
      </c>
      <c r="W43" t="str">
        <f t="shared" si="26"/>
        <v/>
      </c>
      <c r="Z43" t="str">
        <f t="shared" si="27"/>
        <v/>
      </c>
      <c r="AA43" t="str">
        <f t="shared" si="28"/>
        <v/>
      </c>
      <c r="AB43" t="str">
        <f t="shared" si="29"/>
        <v/>
      </c>
      <c r="AI43" t="str">
        <f t="shared" si="30"/>
        <v/>
      </c>
      <c r="AJ43" t="str">
        <f t="shared" si="31"/>
        <v/>
      </c>
      <c r="AM43" t="str">
        <f t="shared" si="32"/>
        <v/>
      </c>
      <c r="AN43" t="str">
        <f t="shared" si="33"/>
        <v/>
      </c>
      <c r="AU43" t="str">
        <f t="shared" si="34"/>
        <v/>
      </c>
      <c r="AV43" t="str">
        <f t="shared" si="35"/>
        <v/>
      </c>
      <c r="AY43" t="str">
        <f t="shared" si="36"/>
        <v/>
      </c>
      <c r="AZ43" t="str">
        <f t="shared" si="37"/>
        <v/>
      </c>
      <c r="BA43" t="str">
        <f t="shared" si="38"/>
        <v/>
      </c>
      <c r="BB43" t="str">
        <f t="shared" si="39"/>
        <v/>
      </c>
      <c r="BC43" t="str">
        <f t="shared" si="40"/>
        <v/>
      </c>
      <c r="BD43" t="str">
        <f t="shared" si="41"/>
        <v/>
      </c>
    </row>
    <row r="44" spans="1:56" x14ac:dyDescent="0.3">
      <c r="A44">
        <v>36</v>
      </c>
      <c r="J44" t="str">
        <f t="shared" si="21"/>
        <v/>
      </c>
      <c r="K44" t="str">
        <f t="shared" si="22"/>
        <v/>
      </c>
      <c r="N44" t="str">
        <f t="shared" si="23"/>
        <v/>
      </c>
      <c r="O44" t="str">
        <f t="shared" si="24"/>
        <v/>
      </c>
      <c r="V44" t="str">
        <f t="shared" si="25"/>
        <v/>
      </c>
      <c r="W44" t="str">
        <f t="shared" si="26"/>
        <v/>
      </c>
      <c r="Z44" t="str">
        <f t="shared" si="27"/>
        <v/>
      </c>
      <c r="AA44" t="str">
        <f t="shared" si="28"/>
        <v/>
      </c>
      <c r="AB44" t="str">
        <f t="shared" si="29"/>
        <v/>
      </c>
      <c r="AI44" t="str">
        <f t="shared" si="30"/>
        <v/>
      </c>
      <c r="AJ44" t="str">
        <f t="shared" si="31"/>
        <v/>
      </c>
      <c r="AM44" t="str">
        <f t="shared" si="32"/>
        <v/>
      </c>
      <c r="AN44" t="str">
        <f t="shared" si="33"/>
        <v/>
      </c>
      <c r="AU44" t="str">
        <f t="shared" si="34"/>
        <v/>
      </c>
      <c r="AV44" t="str">
        <f t="shared" si="35"/>
        <v/>
      </c>
      <c r="AY44" t="str">
        <f t="shared" si="36"/>
        <v/>
      </c>
      <c r="AZ44" t="str">
        <f t="shared" si="37"/>
        <v/>
      </c>
      <c r="BA44" t="str">
        <f t="shared" si="38"/>
        <v/>
      </c>
      <c r="BB44" t="str">
        <f t="shared" si="39"/>
        <v/>
      </c>
      <c r="BC44" t="str">
        <f t="shared" si="40"/>
        <v/>
      </c>
      <c r="BD44" t="str">
        <f t="shared" si="41"/>
        <v/>
      </c>
    </row>
    <row r="45" spans="1:56" x14ac:dyDescent="0.3">
      <c r="A45">
        <v>37</v>
      </c>
      <c r="J45" t="str">
        <f t="shared" si="21"/>
        <v/>
      </c>
      <c r="K45" t="str">
        <f t="shared" si="22"/>
        <v/>
      </c>
      <c r="N45" t="str">
        <f t="shared" si="23"/>
        <v/>
      </c>
      <c r="O45" t="str">
        <f t="shared" si="24"/>
        <v/>
      </c>
      <c r="V45" t="str">
        <f t="shared" si="25"/>
        <v/>
      </c>
      <c r="W45" t="str">
        <f t="shared" si="26"/>
        <v/>
      </c>
      <c r="Z45" t="str">
        <f t="shared" si="27"/>
        <v/>
      </c>
      <c r="AA45" t="str">
        <f t="shared" si="28"/>
        <v/>
      </c>
      <c r="AB45" t="str">
        <f t="shared" si="29"/>
        <v/>
      </c>
      <c r="AI45" t="str">
        <f t="shared" si="30"/>
        <v/>
      </c>
      <c r="AJ45" t="str">
        <f t="shared" si="31"/>
        <v/>
      </c>
      <c r="AM45" t="str">
        <f t="shared" si="32"/>
        <v/>
      </c>
      <c r="AN45" t="str">
        <f t="shared" si="33"/>
        <v/>
      </c>
      <c r="AU45" t="str">
        <f t="shared" si="34"/>
        <v/>
      </c>
      <c r="AV45" t="str">
        <f t="shared" si="35"/>
        <v/>
      </c>
      <c r="AY45" t="str">
        <f t="shared" si="36"/>
        <v/>
      </c>
      <c r="AZ45" t="str">
        <f t="shared" si="37"/>
        <v/>
      </c>
      <c r="BA45" t="str">
        <f t="shared" si="38"/>
        <v/>
      </c>
      <c r="BB45" t="str">
        <f t="shared" si="39"/>
        <v/>
      </c>
      <c r="BC45" t="str">
        <f t="shared" si="40"/>
        <v/>
      </c>
      <c r="BD45" t="str">
        <f t="shared" si="41"/>
        <v/>
      </c>
    </row>
    <row r="46" spans="1:56" x14ac:dyDescent="0.3">
      <c r="A46">
        <v>38</v>
      </c>
      <c r="J46" t="str">
        <f t="shared" si="21"/>
        <v/>
      </c>
      <c r="K46" t="str">
        <f t="shared" si="22"/>
        <v/>
      </c>
      <c r="N46" t="str">
        <f t="shared" si="23"/>
        <v/>
      </c>
      <c r="O46" t="str">
        <f t="shared" si="24"/>
        <v/>
      </c>
      <c r="V46" t="str">
        <f t="shared" si="25"/>
        <v/>
      </c>
      <c r="W46" t="str">
        <f t="shared" si="26"/>
        <v/>
      </c>
      <c r="Z46" t="str">
        <f t="shared" si="27"/>
        <v/>
      </c>
      <c r="AA46" t="str">
        <f t="shared" si="28"/>
        <v/>
      </c>
      <c r="AB46" t="str">
        <f t="shared" si="29"/>
        <v/>
      </c>
      <c r="AI46" t="str">
        <f t="shared" si="30"/>
        <v/>
      </c>
      <c r="AJ46" t="str">
        <f t="shared" si="31"/>
        <v/>
      </c>
      <c r="AM46" t="str">
        <f t="shared" si="32"/>
        <v/>
      </c>
      <c r="AN46" t="str">
        <f t="shared" si="33"/>
        <v/>
      </c>
      <c r="AU46" t="str">
        <f t="shared" si="34"/>
        <v/>
      </c>
      <c r="AV46" t="str">
        <f t="shared" si="35"/>
        <v/>
      </c>
      <c r="AY46" t="str">
        <f t="shared" si="36"/>
        <v/>
      </c>
      <c r="AZ46" t="str">
        <f t="shared" si="37"/>
        <v/>
      </c>
      <c r="BA46" t="str">
        <f t="shared" si="38"/>
        <v/>
      </c>
      <c r="BB46" t="str">
        <f t="shared" si="39"/>
        <v/>
      </c>
      <c r="BC46" t="str">
        <f t="shared" si="40"/>
        <v/>
      </c>
      <c r="BD46" t="str">
        <f t="shared" si="41"/>
        <v/>
      </c>
    </row>
    <row r="47" spans="1:56" x14ac:dyDescent="0.3">
      <c r="A47">
        <v>39</v>
      </c>
      <c r="J47" t="str">
        <f t="shared" si="21"/>
        <v/>
      </c>
      <c r="K47" t="str">
        <f t="shared" si="22"/>
        <v/>
      </c>
      <c r="N47" t="str">
        <f t="shared" si="23"/>
        <v/>
      </c>
      <c r="O47" t="str">
        <f t="shared" si="24"/>
        <v/>
      </c>
      <c r="V47" t="str">
        <f t="shared" si="25"/>
        <v/>
      </c>
      <c r="W47" t="str">
        <f t="shared" si="26"/>
        <v/>
      </c>
      <c r="Z47" t="str">
        <f t="shared" si="27"/>
        <v/>
      </c>
      <c r="AA47" t="str">
        <f t="shared" si="28"/>
        <v/>
      </c>
      <c r="AB47" t="str">
        <f t="shared" si="29"/>
        <v/>
      </c>
      <c r="AI47" t="str">
        <f t="shared" si="30"/>
        <v/>
      </c>
      <c r="AJ47" t="str">
        <f t="shared" si="31"/>
        <v/>
      </c>
      <c r="AM47" t="str">
        <f t="shared" si="32"/>
        <v/>
      </c>
      <c r="AN47" t="str">
        <f t="shared" si="33"/>
        <v/>
      </c>
      <c r="AU47" t="str">
        <f t="shared" si="34"/>
        <v/>
      </c>
      <c r="AV47" t="str">
        <f t="shared" si="35"/>
        <v/>
      </c>
      <c r="AY47" t="str">
        <f t="shared" si="36"/>
        <v/>
      </c>
      <c r="AZ47" t="str">
        <f t="shared" si="37"/>
        <v/>
      </c>
      <c r="BA47" t="str">
        <f t="shared" si="38"/>
        <v/>
      </c>
      <c r="BB47" t="str">
        <f t="shared" si="39"/>
        <v/>
      </c>
      <c r="BC47" t="str">
        <f t="shared" si="40"/>
        <v/>
      </c>
      <c r="BD47" t="str">
        <f t="shared" si="41"/>
        <v/>
      </c>
    </row>
    <row r="48" spans="1:56" x14ac:dyDescent="0.3">
      <c r="A48">
        <v>40</v>
      </c>
      <c r="J48" t="str">
        <f t="shared" si="21"/>
        <v/>
      </c>
      <c r="K48" t="str">
        <f t="shared" si="22"/>
        <v/>
      </c>
      <c r="N48" t="str">
        <f t="shared" si="23"/>
        <v/>
      </c>
      <c r="O48" t="str">
        <f t="shared" si="24"/>
        <v/>
      </c>
      <c r="V48" t="str">
        <f t="shared" si="25"/>
        <v/>
      </c>
      <c r="W48" t="str">
        <f t="shared" si="26"/>
        <v/>
      </c>
      <c r="Z48" t="str">
        <f t="shared" si="27"/>
        <v/>
      </c>
      <c r="AA48" t="str">
        <f t="shared" si="28"/>
        <v/>
      </c>
      <c r="AB48" t="str">
        <f t="shared" si="29"/>
        <v/>
      </c>
      <c r="AI48" t="str">
        <f t="shared" si="30"/>
        <v/>
      </c>
      <c r="AJ48" t="str">
        <f t="shared" si="31"/>
        <v/>
      </c>
      <c r="AM48" t="str">
        <f t="shared" si="32"/>
        <v/>
      </c>
      <c r="AN48" t="str">
        <f t="shared" si="33"/>
        <v/>
      </c>
      <c r="AU48" t="str">
        <f t="shared" si="34"/>
        <v/>
      </c>
      <c r="AV48" t="str">
        <f t="shared" si="35"/>
        <v/>
      </c>
      <c r="AY48" t="str">
        <f t="shared" si="36"/>
        <v/>
      </c>
      <c r="AZ48" t="str">
        <f t="shared" si="37"/>
        <v/>
      </c>
      <c r="BA48" t="str">
        <f t="shared" si="38"/>
        <v/>
      </c>
      <c r="BB48" t="str">
        <f t="shared" si="39"/>
        <v/>
      </c>
      <c r="BC48" t="str">
        <f t="shared" si="40"/>
        <v/>
      </c>
      <c r="BD48" t="str">
        <f t="shared" si="41"/>
        <v/>
      </c>
    </row>
    <row r="49" spans="1:56" x14ac:dyDescent="0.3">
      <c r="A49">
        <v>41</v>
      </c>
      <c r="J49" t="str">
        <f t="shared" si="21"/>
        <v/>
      </c>
      <c r="K49" t="str">
        <f t="shared" si="22"/>
        <v/>
      </c>
      <c r="N49" t="str">
        <f t="shared" si="23"/>
        <v/>
      </c>
      <c r="O49" t="str">
        <f t="shared" si="24"/>
        <v/>
      </c>
      <c r="V49" t="str">
        <f t="shared" si="25"/>
        <v/>
      </c>
      <c r="W49" t="str">
        <f t="shared" si="26"/>
        <v/>
      </c>
      <c r="Z49" t="str">
        <f t="shared" si="27"/>
        <v/>
      </c>
      <c r="AA49" t="str">
        <f t="shared" si="28"/>
        <v/>
      </c>
      <c r="AB49" t="str">
        <f t="shared" si="29"/>
        <v/>
      </c>
      <c r="AI49" t="str">
        <f t="shared" si="30"/>
        <v/>
      </c>
      <c r="AJ49" t="str">
        <f t="shared" si="31"/>
        <v/>
      </c>
      <c r="AM49" t="str">
        <f t="shared" si="32"/>
        <v/>
      </c>
      <c r="AN49" t="str">
        <f t="shared" si="33"/>
        <v/>
      </c>
      <c r="AU49" t="str">
        <f t="shared" si="34"/>
        <v/>
      </c>
      <c r="AV49" t="str">
        <f t="shared" si="35"/>
        <v/>
      </c>
      <c r="AY49" t="str">
        <f t="shared" si="36"/>
        <v/>
      </c>
      <c r="AZ49" t="str">
        <f t="shared" si="37"/>
        <v/>
      </c>
      <c r="BA49" t="str">
        <f t="shared" si="38"/>
        <v/>
      </c>
      <c r="BB49" t="str">
        <f t="shared" si="39"/>
        <v/>
      </c>
      <c r="BC49" t="str">
        <f t="shared" si="40"/>
        <v/>
      </c>
      <c r="BD49" t="str">
        <f t="shared" si="41"/>
        <v/>
      </c>
    </row>
    <row r="50" spans="1:56" x14ac:dyDescent="0.3">
      <c r="A50">
        <v>42</v>
      </c>
      <c r="J50" t="str">
        <f t="shared" si="21"/>
        <v/>
      </c>
      <c r="K50" t="str">
        <f t="shared" si="22"/>
        <v/>
      </c>
      <c r="N50" t="str">
        <f t="shared" si="23"/>
        <v/>
      </c>
      <c r="O50" t="str">
        <f t="shared" si="24"/>
        <v/>
      </c>
      <c r="V50" t="str">
        <f t="shared" si="25"/>
        <v/>
      </c>
      <c r="W50" t="str">
        <f t="shared" si="26"/>
        <v/>
      </c>
      <c r="Z50" t="str">
        <f t="shared" si="27"/>
        <v/>
      </c>
      <c r="AA50" t="str">
        <f t="shared" si="28"/>
        <v/>
      </c>
      <c r="AB50" t="str">
        <f t="shared" si="29"/>
        <v/>
      </c>
      <c r="AI50" t="str">
        <f t="shared" si="30"/>
        <v/>
      </c>
      <c r="AJ50" t="str">
        <f t="shared" si="31"/>
        <v/>
      </c>
      <c r="AM50" t="str">
        <f t="shared" si="32"/>
        <v/>
      </c>
      <c r="AN50" t="str">
        <f t="shared" si="33"/>
        <v/>
      </c>
      <c r="AU50" t="str">
        <f t="shared" si="34"/>
        <v/>
      </c>
      <c r="AV50" t="str">
        <f t="shared" si="35"/>
        <v/>
      </c>
      <c r="AY50" t="str">
        <f t="shared" si="36"/>
        <v/>
      </c>
      <c r="AZ50" t="str">
        <f t="shared" si="37"/>
        <v/>
      </c>
      <c r="BA50" t="str">
        <f t="shared" si="38"/>
        <v/>
      </c>
      <c r="BB50" t="str">
        <f t="shared" si="39"/>
        <v/>
      </c>
      <c r="BC50" t="str">
        <f t="shared" si="40"/>
        <v/>
      </c>
      <c r="BD50" t="str">
        <f t="shared" si="41"/>
        <v/>
      </c>
    </row>
    <row r="51" spans="1:56" x14ac:dyDescent="0.3">
      <c r="A51">
        <v>43</v>
      </c>
      <c r="J51" t="str">
        <f t="shared" si="21"/>
        <v/>
      </c>
      <c r="K51" t="str">
        <f t="shared" si="22"/>
        <v/>
      </c>
      <c r="N51" t="str">
        <f t="shared" si="23"/>
        <v/>
      </c>
      <c r="O51" t="str">
        <f t="shared" si="24"/>
        <v/>
      </c>
      <c r="V51" t="str">
        <f t="shared" si="25"/>
        <v/>
      </c>
      <c r="W51" t="str">
        <f t="shared" si="26"/>
        <v/>
      </c>
      <c r="Z51" t="str">
        <f t="shared" si="27"/>
        <v/>
      </c>
      <c r="AA51" t="str">
        <f t="shared" si="28"/>
        <v/>
      </c>
      <c r="AB51" t="str">
        <f t="shared" si="29"/>
        <v/>
      </c>
      <c r="AI51" t="str">
        <f t="shared" si="30"/>
        <v/>
      </c>
      <c r="AJ51" t="str">
        <f t="shared" si="31"/>
        <v/>
      </c>
      <c r="AM51" t="str">
        <f t="shared" si="32"/>
        <v/>
      </c>
      <c r="AN51" t="str">
        <f t="shared" si="33"/>
        <v/>
      </c>
      <c r="AU51" t="str">
        <f t="shared" si="34"/>
        <v/>
      </c>
      <c r="AV51" t="str">
        <f t="shared" si="35"/>
        <v/>
      </c>
      <c r="AY51" t="str">
        <f t="shared" si="36"/>
        <v/>
      </c>
      <c r="AZ51" t="str">
        <f t="shared" si="37"/>
        <v/>
      </c>
      <c r="BA51" t="str">
        <f t="shared" si="38"/>
        <v/>
      </c>
      <c r="BB51" t="str">
        <f t="shared" si="39"/>
        <v/>
      </c>
      <c r="BC51" t="str">
        <f t="shared" si="40"/>
        <v/>
      </c>
      <c r="BD51" t="str">
        <f t="shared" si="41"/>
        <v/>
      </c>
    </row>
    <row r="52" spans="1:56" x14ac:dyDescent="0.3">
      <c r="A52">
        <v>44</v>
      </c>
      <c r="J52" t="str">
        <f t="shared" si="21"/>
        <v/>
      </c>
      <c r="K52" t="str">
        <f t="shared" si="22"/>
        <v/>
      </c>
      <c r="N52" t="str">
        <f t="shared" si="23"/>
        <v/>
      </c>
      <c r="O52" t="str">
        <f t="shared" si="24"/>
        <v/>
      </c>
      <c r="V52" t="str">
        <f t="shared" si="25"/>
        <v/>
      </c>
      <c r="W52" t="str">
        <f t="shared" si="26"/>
        <v/>
      </c>
      <c r="Z52" t="str">
        <f t="shared" si="27"/>
        <v/>
      </c>
      <c r="AA52" t="str">
        <f t="shared" si="28"/>
        <v/>
      </c>
      <c r="AB52" t="str">
        <f t="shared" si="29"/>
        <v/>
      </c>
      <c r="AI52" t="str">
        <f t="shared" si="30"/>
        <v/>
      </c>
      <c r="AJ52" t="str">
        <f t="shared" si="31"/>
        <v/>
      </c>
      <c r="AM52" t="str">
        <f t="shared" si="32"/>
        <v/>
      </c>
      <c r="AN52" t="str">
        <f t="shared" si="33"/>
        <v/>
      </c>
      <c r="AU52" t="str">
        <f t="shared" si="34"/>
        <v/>
      </c>
      <c r="AV52" t="str">
        <f t="shared" si="35"/>
        <v/>
      </c>
      <c r="AY52" t="str">
        <f t="shared" si="36"/>
        <v/>
      </c>
      <c r="AZ52" t="str">
        <f t="shared" si="37"/>
        <v/>
      </c>
      <c r="BA52" t="str">
        <f t="shared" si="38"/>
        <v/>
      </c>
      <c r="BB52" t="str">
        <f t="shared" si="39"/>
        <v/>
      </c>
      <c r="BC52" t="str">
        <f t="shared" si="40"/>
        <v/>
      </c>
      <c r="BD52" t="str">
        <f t="shared" si="41"/>
        <v/>
      </c>
    </row>
    <row r="53" spans="1:56" x14ac:dyDescent="0.3">
      <c r="A53">
        <v>45</v>
      </c>
      <c r="J53" t="str">
        <f t="shared" si="21"/>
        <v/>
      </c>
      <c r="K53" t="str">
        <f t="shared" si="22"/>
        <v/>
      </c>
      <c r="N53" t="str">
        <f t="shared" si="23"/>
        <v/>
      </c>
      <c r="O53" t="str">
        <f t="shared" si="24"/>
        <v/>
      </c>
      <c r="V53" t="str">
        <f t="shared" si="25"/>
        <v/>
      </c>
      <c r="W53" t="str">
        <f t="shared" si="26"/>
        <v/>
      </c>
      <c r="Z53" t="str">
        <f t="shared" si="27"/>
        <v/>
      </c>
      <c r="AA53" t="str">
        <f t="shared" si="28"/>
        <v/>
      </c>
      <c r="AB53" t="str">
        <f t="shared" si="29"/>
        <v/>
      </c>
      <c r="AI53" t="str">
        <f t="shared" si="30"/>
        <v/>
      </c>
      <c r="AJ53" t="str">
        <f t="shared" si="31"/>
        <v/>
      </c>
      <c r="AM53" t="str">
        <f t="shared" si="32"/>
        <v/>
      </c>
      <c r="AN53" t="str">
        <f t="shared" si="33"/>
        <v/>
      </c>
      <c r="AU53" t="str">
        <f t="shared" si="34"/>
        <v/>
      </c>
      <c r="AV53" t="str">
        <f t="shared" si="35"/>
        <v/>
      </c>
      <c r="AY53" t="str">
        <f t="shared" si="36"/>
        <v/>
      </c>
      <c r="AZ53" t="str">
        <f t="shared" si="37"/>
        <v/>
      </c>
      <c r="BA53" t="str">
        <f t="shared" si="38"/>
        <v/>
      </c>
      <c r="BB53" t="str">
        <f t="shared" si="39"/>
        <v/>
      </c>
      <c r="BC53" t="str">
        <f t="shared" si="40"/>
        <v/>
      </c>
      <c r="BD53" t="str">
        <f t="shared" si="41"/>
        <v/>
      </c>
    </row>
    <row r="54" spans="1:56" x14ac:dyDescent="0.3">
      <c r="A54">
        <v>46</v>
      </c>
      <c r="J54" t="str">
        <f t="shared" si="21"/>
        <v/>
      </c>
      <c r="K54" t="str">
        <f t="shared" si="22"/>
        <v/>
      </c>
      <c r="N54" t="str">
        <f t="shared" si="23"/>
        <v/>
      </c>
      <c r="O54" t="str">
        <f t="shared" si="24"/>
        <v/>
      </c>
      <c r="V54" t="str">
        <f t="shared" si="25"/>
        <v/>
      </c>
      <c r="W54" t="str">
        <f t="shared" si="26"/>
        <v/>
      </c>
      <c r="Z54" t="str">
        <f t="shared" si="27"/>
        <v/>
      </c>
      <c r="AA54" t="str">
        <f t="shared" si="28"/>
        <v/>
      </c>
      <c r="AB54" t="str">
        <f t="shared" si="29"/>
        <v/>
      </c>
      <c r="AI54" t="str">
        <f t="shared" si="30"/>
        <v/>
      </c>
      <c r="AJ54" t="str">
        <f t="shared" si="31"/>
        <v/>
      </c>
      <c r="AM54" t="str">
        <f t="shared" si="32"/>
        <v/>
      </c>
      <c r="AN54" t="str">
        <f t="shared" si="33"/>
        <v/>
      </c>
      <c r="AU54" t="str">
        <f t="shared" si="34"/>
        <v/>
      </c>
      <c r="AV54" t="str">
        <f t="shared" si="35"/>
        <v/>
      </c>
      <c r="AY54" t="str">
        <f t="shared" si="36"/>
        <v/>
      </c>
      <c r="AZ54" t="str">
        <f t="shared" si="37"/>
        <v/>
      </c>
      <c r="BA54" t="str">
        <f t="shared" si="38"/>
        <v/>
      </c>
      <c r="BB54" t="str">
        <f t="shared" si="39"/>
        <v/>
      </c>
      <c r="BC54" t="str">
        <f t="shared" si="40"/>
        <v/>
      </c>
      <c r="BD54" t="str">
        <f t="shared" si="41"/>
        <v/>
      </c>
    </row>
    <row r="55" spans="1:56" x14ac:dyDescent="0.3">
      <c r="A55">
        <v>47</v>
      </c>
      <c r="J55" t="str">
        <f t="shared" si="21"/>
        <v/>
      </c>
      <c r="K55" t="str">
        <f t="shared" si="22"/>
        <v/>
      </c>
      <c r="N55" t="str">
        <f t="shared" si="23"/>
        <v/>
      </c>
      <c r="O55" t="str">
        <f t="shared" si="24"/>
        <v/>
      </c>
      <c r="V55" t="str">
        <f t="shared" si="25"/>
        <v/>
      </c>
      <c r="W55" t="str">
        <f t="shared" si="26"/>
        <v/>
      </c>
      <c r="Z55" t="str">
        <f t="shared" si="27"/>
        <v/>
      </c>
      <c r="AA55" t="str">
        <f t="shared" si="28"/>
        <v/>
      </c>
      <c r="AB55" t="str">
        <f t="shared" si="29"/>
        <v/>
      </c>
      <c r="AI55" t="str">
        <f t="shared" si="30"/>
        <v/>
      </c>
      <c r="AJ55" t="str">
        <f t="shared" si="31"/>
        <v/>
      </c>
      <c r="AM55" t="str">
        <f t="shared" si="32"/>
        <v/>
      </c>
      <c r="AN55" t="str">
        <f t="shared" si="33"/>
        <v/>
      </c>
      <c r="AU55" t="str">
        <f t="shared" si="34"/>
        <v/>
      </c>
      <c r="AV55" t="str">
        <f t="shared" si="35"/>
        <v/>
      </c>
      <c r="AY55" t="str">
        <f t="shared" si="36"/>
        <v/>
      </c>
      <c r="AZ55" t="str">
        <f t="shared" si="37"/>
        <v/>
      </c>
      <c r="BA55" t="str">
        <f t="shared" si="38"/>
        <v/>
      </c>
      <c r="BB55" t="str">
        <f t="shared" si="39"/>
        <v/>
      </c>
      <c r="BC55" t="str">
        <f t="shared" si="40"/>
        <v/>
      </c>
      <c r="BD55" t="str">
        <f t="shared" si="41"/>
        <v/>
      </c>
    </row>
    <row r="56" spans="1:56" x14ac:dyDescent="0.3">
      <c r="A56">
        <v>48</v>
      </c>
      <c r="J56" t="str">
        <f t="shared" si="21"/>
        <v/>
      </c>
      <c r="K56" t="str">
        <f t="shared" si="22"/>
        <v/>
      </c>
      <c r="N56" t="str">
        <f t="shared" si="23"/>
        <v/>
      </c>
      <c r="O56" t="str">
        <f t="shared" si="24"/>
        <v/>
      </c>
      <c r="V56" t="str">
        <f t="shared" si="25"/>
        <v/>
      </c>
      <c r="W56" t="str">
        <f t="shared" si="26"/>
        <v/>
      </c>
      <c r="Z56" t="str">
        <f t="shared" si="27"/>
        <v/>
      </c>
      <c r="AA56" t="str">
        <f t="shared" si="28"/>
        <v/>
      </c>
      <c r="AB56" t="str">
        <f t="shared" si="29"/>
        <v/>
      </c>
      <c r="AI56" t="str">
        <f t="shared" si="30"/>
        <v/>
      </c>
      <c r="AJ56" t="str">
        <f t="shared" si="31"/>
        <v/>
      </c>
      <c r="AM56" t="str">
        <f t="shared" si="32"/>
        <v/>
      </c>
      <c r="AN56" t="str">
        <f t="shared" si="33"/>
        <v/>
      </c>
      <c r="AU56" t="str">
        <f t="shared" si="34"/>
        <v/>
      </c>
      <c r="AV56" t="str">
        <f t="shared" si="35"/>
        <v/>
      </c>
      <c r="AY56" t="str">
        <f t="shared" si="36"/>
        <v/>
      </c>
      <c r="AZ56" t="str">
        <f t="shared" si="37"/>
        <v/>
      </c>
      <c r="BA56" t="str">
        <f t="shared" si="38"/>
        <v/>
      </c>
      <c r="BB56" t="str">
        <f t="shared" si="39"/>
        <v/>
      </c>
      <c r="BC56" t="str">
        <f t="shared" si="40"/>
        <v/>
      </c>
      <c r="BD56" t="str">
        <f t="shared" si="41"/>
        <v/>
      </c>
    </row>
    <row r="57" spans="1:56" x14ac:dyDescent="0.3">
      <c r="A57">
        <v>49</v>
      </c>
      <c r="J57" t="str">
        <f t="shared" si="21"/>
        <v/>
      </c>
      <c r="K57" t="str">
        <f t="shared" si="22"/>
        <v/>
      </c>
      <c r="N57" t="str">
        <f t="shared" si="23"/>
        <v/>
      </c>
      <c r="O57" t="str">
        <f t="shared" si="24"/>
        <v/>
      </c>
      <c r="V57" t="str">
        <f t="shared" si="25"/>
        <v/>
      </c>
      <c r="W57" t="str">
        <f t="shared" si="26"/>
        <v/>
      </c>
      <c r="Z57" t="str">
        <f t="shared" si="27"/>
        <v/>
      </c>
      <c r="AA57" t="str">
        <f t="shared" si="28"/>
        <v/>
      </c>
      <c r="AB57" t="str">
        <f t="shared" si="29"/>
        <v/>
      </c>
      <c r="AI57" t="str">
        <f t="shared" si="30"/>
        <v/>
      </c>
      <c r="AJ57" t="str">
        <f t="shared" si="31"/>
        <v/>
      </c>
      <c r="AM57" t="str">
        <f t="shared" si="32"/>
        <v/>
      </c>
      <c r="AN57" t="str">
        <f t="shared" si="33"/>
        <v/>
      </c>
      <c r="AU57" t="str">
        <f t="shared" si="34"/>
        <v/>
      </c>
      <c r="AV57" t="str">
        <f t="shared" si="35"/>
        <v/>
      </c>
      <c r="AY57" t="str">
        <f t="shared" si="36"/>
        <v/>
      </c>
      <c r="AZ57" t="str">
        <f t="shared" si="37"/>
        <v/>
      </c>
      <c r="BA57" t="str">
        <f t="shared" si="38"/>
        <v/>
      </c>
      <c r="BB57" t="str">
        <f t="shared" si="39"/>
        <v/>
      </c>
      <c r="BC57" t="str">
        <f t="shared" si="40"/>
        <v/>
      </c>
      <c r="BD57" t="str">
        <f t="shared" si="41"/>
        <v/>
      </c>
    </row>
    <row r="58" spans="1:56" x14ac:dyDescent="0.3">
      <c r="A58">
        <v>50</v>
      </c>
      <c r="J58" t="str">
        <f t="shared" si="21"/>
        <v/>
      </c>
      <c r="K58" t="str">
        <f t="shared" si="22"/>
        <v/>
      </c>
      <c r="N58" t="str">
        <f t="shared" si="23"/>
        <v/>
      </c>
      <c r="O58" t="str">
        <f t="shared" si="24"/>
        <v/>
      </c>
      <c r="V58" t="str">
        <f t="shared" si="25"/>
        <v/>
      </c>
      <c r="W58" t="str">
        <f t="shared" si="26"/>
        <v/>
      </c>
      <c r="Z58" t="str">
        <f t="shared" si="27"/>
        <v/>
      </c>
      <c r="AA58" t="str">
        <f t="shared" si="28"/>
        <v/>
      </c>
      <c r="AB58" t="str">
        <f t="shared" si="29"/>
        <v/>
      </c>
      <c r="AI58" t="str">
        <f t="shared" si="30"/>
        <v/>
      </c>
      <c r="AJ58" t="str">
        <f t="shared" si="31"/>
        <v/>
      </c>
      <c r="AM58" t="str">
        <f t="shared" si="32"/>
        <v/>
      </c>
      <c r="AN58" t="str">
        <f t="shared" si="33"/>
        <v/>
      </c>
      <c r="AU58" t="str">
        <f t="shared" si="34"/>
        <v/>
      </c>
      <c r="AV58" t="str">
        <f t="shared" si="35"/>
        <v/>
      </c>
      <c r="AY58" t="str">
        <f t="shared" si="36"/>
        <v/>
      </c>
      <c r="AZ58" t="str">
        <f t="shared" si="37"/>
        <v/>
      </c>
      <c r="BA58" t="str">
        <f t="shared" si="38"/>
        <v/>
      </c>
      <c r="BB58" t="str">
        <f t="shared" si="39"/>
        <v/>
      </c>
      <c r="BC58" t="str">
        <f t="shared" si="40"/>
        <v/>
      </c>
      <c r="BD58" t="str">
        <f t="shared" si="41"/>
        <v/>
      </c>
    </row>
    <row r="59" spans="1:56" x14ac:dyDescent="0.3">
      <c r="A59">
        <v>51</v>
      </c>
      <c r="J59" t="str">
        <f t="shared" si="21"/>
        <v/>
      </c>
      <c r="K59" t="str">
        <f t="shared" si="22"/>
        <v/>
      </c>
      <c r="N59" t="str">
        <f t="shared" si="23"/>
        <v/>
      </c>
      <c r="O59" t="str">
        <f t="shared" si="24"/>
        <v/>
      </c>
      <c r="V59" t="str">
        <f t="shared" si="25"/>
        <v/>
      </c>
      <c r="W59" t="str">
        <f t="shared" si="26"/>
        <v/>
      </c>
      <c r="Z59" t="str">
        <f t="shared" si="27"/>
        <v/>
      </c>
      <c r="AA59" t="str">
        <f t="shared" si="28"/>
        <v/>
      </c>
      <c r="AB59" t="str">
        <f t="shared" si="29"/>
        <v/>
      </c>
      <c r="AI59" t="str">
        <f t="shared" si="30"/>
        <v/>
      </c>
      <c r="AJ59" t="str">
        <f t="shared" si="31"/>
        <v/>
      </c>
      <c r="AM59" t="str">
        <f t="shared" si="32"/>
        <v/>
      </c>
      <c r="AN59" t="str">
        <f t="shared" si="33"/>
        <v/>
      </c>
      <c r="AU59" t="str">
        <f t="shared" si="34"/>
        <v/>
      </c>
      <c r="AV59" t="str">
        <f t="shared" si="35"/>
        <v/>
      </c>
      <c r="AY59" t="str">
        <f t="shared" si="36"/>
        <v/>
      </c>
      <c r="AZ59" t="str">
        <f t="shared" si="37"/>
        <v/>
      </c>
      <c r="BA59" t="str">
        <f t="shared" si="38"/>
        <v/>
      </c>
      <c r="BB59" t="str">
        <f t="shared" si="39"/>
        <v/>
      </c>
      <c r="BC59" t="str">
        <f t="shared" si="40"/>
        <v/>
      </c>
      <c r="BD59" t="str">
        <f t="shared" si="41"/>
        <v/>
      </c>
    </row>
    <row r="60" spans="1:56" x14ac:dyDescent="0.3">
      <c r="A60">
        <v>52</v>
      </c>
      <c r="J60" t="str">
        <f t="shared" si="21"/>
        <v/>
      </c>
      <c r="K60" t="str">
        <f t="shared" si="22"/>
        <v/>
      </c>
      <c r="N60" t="str">
        <f t="shared" si="23"/>
        <v/>
      </c>
      <c r="O60" t="str">
        <f t="shared" si="24"/>
        <v/>
      </c>
      <c r="V60" t="str">
        <f t="shared" si="25"/>
        <v/>
      </c>
      <c r="W60" t="str">
        <f t="shared" si="26"/>
        <v/>
      </c>
      <c r="Z60" t="str">
        <f t="shared" si="27"/>
        <v/>
      </c>
      <c r="AA60" t="str">
        <f t="shared" si="28"/>
        <v/>
      </c>
      <c r="AB60" t="str">
        <f t="shared" si="29"/>
        <v/>
      </c>
      <c r="AI60" t="str">
        <f t="shared" si="30"/>
        <v/>
      </c>
      <c r="AJ60" t="str">
        <f t="shared" si="31"/>
        <v/>
      </c>
      <c r="AM60" t="str">
        <f t="shared" si="32"/>
        <v/>
      </c>
      <c r="AN60" t="str">
        <f t="shared" si="33"/>
        <v/>
      </c>
      <c r="AU60" t="str">
        <f t="shared" si="34"/>
        <v/>
      </c>
      <c r="AV60" t="str">
        <f t="shared" si="35"/>
        <v/>
      </c>
      <c r="AY60" t="str">
        <f t="shared" si="36"/>
        <v/>
      </c>
      <c r="AZ60" t="str">
        <f t="shared" si="37"/>
        <v/>
      </c>
      <c r="BA60" t="str">
        <f t="shared" si="38"/>
        <v/>
      </c>
      <c r="BB60" t="str">
        <f t="shared" si="39"/>
        <v/>
      </c>
      <c r="BC60" t="str">
        <f t="shared" si="40"/>
        <v/>
      </c>
      <c r="BD60" t="str">
        <f t="shared" si="41"/>
        <v/>
      </c>
    </row>
    <row r="61" spans="1:56" x14ac:dyDescent="0.3">
      <c r="A61">
        <v>53</v>
      </c>
      <c r="J61" t="str">
        <f t="shared" si="21"/>
        <v/>
      </c>
      <c r="K61" t="str">
        <f t="shared" si="22"/>
        <v/>
      </c>
      <c r="N61" t="str">
        <f t="shared" si="23"/>
        <v/>
      </c>
      <c r="O61" t="str">
        <f t="shared" si="24"/>
        <v/>
      </c>
      <c r="V61" t="str">
        <f t="shared" si="25"/>
        <v/>
      </c>
      <c r="W61" t="str">
        <f t="shared" si="26"/>
        <v/>
      </c>
      <c r="Z61" t="str">
        <f t="shared" si="27"/>
        <v/>
      </c>
      <c r="AA61" t="str">
        <f t="shared" si="28"/>
        <v/>
      </c>
      <c r="AB61" t="str">
        <f t="shared" si="29"/>
        <v/>
      </c>
      <c r="AI61" t="str">
        <f t="shared" si="30"/>
        <v/>
      </c>
      <c r="AJ61" t="str">
        <f t="shared" si="31"/>
        <v/>
      </c>
      <c r="AM61" t="str">
        <f t="shared" si="32"/>
        <v/>
      </c>
      <c r="AN61" t="str">
        <f t="shared" si="33"/>
        <v/>
      </c>
      <c r="AU61" t="str">
        <f t="shared" si="34"/>
        <v/>
      </c>
      <c r="AV61" t="str">
        <f t="shared" si="35"/>
        <v/>
      </c>
      <c r="AY61" t="str">
        <f t="shared" si="36"/>
        <v/>
      </c>
      <c r="AZ61" t="str">
        <f t="shared" si="37"/>
        <v/>
      </c>
      <c r="BA61" t="str">
        <f t="shared" si="38"/>
        <v/>
      </c>
      <c r="BB61" t="str">
        <f t="shared" si="39"/>
        <v/>
      </c>
      <c r="BC61" t="str">
        <f t="shared" si="40"/>
        <v/>
      </c>
      <c r="BD61" t="str">
        <f t="shared" si="41"/>
        <v/>
      </c>
    </row>
    <row r="62" spans="1:56" x14ac:dyDescent="0.3">
      <c r="A62">
        <v>54</v>
      </c>
      <c r="J62" t="str">
        <f t="shared" si="21"/>
        <v/>
      </c>
      <c r="K62" t="str">
        <f t="shared" si="22"/>
        <v/>
      </c>
      <c r="N62" t="str">
        <f t="shared" si="23"/>
        <v/>
      </c>
      <c r="O62" t="str">
        <f t="shared" si="24"/>
        <v/>
      </c>
      <c r="V62" t="str">
        <f t="shared" si="25"/>
        <v/>
      </c>
      <c r="W62" t="str">
        <f t="shared" si="26"/>
        <v/>
      </c>
      <c r="Z62" t="str">
        <f t="shared" si="27"/>
        <v/>
      </c>
      <c r="AA62" t="str">
        <f t="shared" si="28"/>
        <v/>
      </c>
      <c r="AB62" t="str">
        <f t="shared" si="29"/>
        <v/>
      </c>
      <c r="AI62" t="str">
        <f t="shared" si="30"/>
        <v/>
      </c>
      <c r="AJ62" t="str">
        <f t="shared" si="31"/>
        <v/>
      </c>
      <c r="AM62" t="str">
        <f t="shared" si="32"/>
        <v/>
      </c>
      <c r="AN62" t="str">
        <f t="shared" si="33"/>
        <v/>
      </c>
      <c r="AU62" t="str">
        <f t="shared" si="34"/>
        <v/>
      </c>
      <c r="AV62" t="str">
        <f t="shared" si="35"/>
        <v/>
      </c>
      <c r="AY62" t="str">
        <f t="shared" si="36"/>
        <v/>
      </c>
      <c r="AZ62" t="str">
        <f t="shared" si="37"/>
        <v/>
      </c>
      <c r="BA62" t="str">
        <f t="shared" si="38"/>
        <v/>
      </c>
      <c r="BB62" t="str">
        <f t="shared" si="39"/>
        <v/>
      </c>
      <c r="BC62" t="str">
        <f t="shared" si="40"/>
        <v/>
      </c>
      <c r="BD62" t="str">
        <f t="shared" si="41"/>
        <v/>
      </c>
    </row>
    <row r="63" spans="1:56" x14ac:dyDescent="0.3">
      <c r="A63">
        <v>55</v>
      </c>
      <c r="J63" t="str">
        <f t="shared" si="21"/>
        <v/>
      </c>
      <c r="K63" t="str">
        <f t="shared" si="22"/>
        <v/>
      </c>
      <c r="N63" t="str">
        <f t="shared" si="23"/>
        <v/>
      </c>
      <c r="O63" t="str">
        <f t="shared" si="24"/>
        <v/>
      </c>
      <c r="V63" t="str">
        <f t="shared" si="25"/>
        <v/>
      </c>
      <c r="W63" t="str">
        <f t="shared" si="26"/>
        <v/>
      </c>
      <c r="Z63" t="str">
        <f t="shared" si="27"/>
        <v/>
      </c>
      <c r="AA63" t="str">
        <f t="shared" si="28"/>
        <v/>
      </c>
      <c r="AB63" t="str">
        <f t="shared" si="29"/>
        <v/>
      </c>
      <c r="AI63" t="str">
        <f t="shared" si="30"/>
        <v/>
      </c>
      <c r="AJ63" t="str">
        <f t="shared" si="31"/>
        <v/>
      </c>
      <c r="AM63" t="str">
        <f t="shared" si="32"/>
        <v/>
      </c>
      <c r="AN63" t="str">
        <f t="shared" si="33"/>
        <v/>
      </c>
      <c r="AU63" t="str">
        <f t="shared" si="34"/>
        <v/>
      </c>
      <c r="AV63" t="str">
        <f t="shared" si="35"/>
        <v/>
      </c>
      <c r="AY63" t="str">
        <f t="shared" si="36"/>
        <v/>
      </c>
      <c r="AZ63" t="str">
        <f t="shared" si="37"/>
        <v/>
      </c>
      <c r="BA63" t="str">
        <f t="shared" si="38"/>
        <v/>
      </c>
      <c r="BB63" t="str">
        <f t="shared" si="39"/>
        <v/>
      </c>
      <c r="BC63" t="str">
        <f t="shared" si="40"/>
        <v/>
      </c>
      <c r="BD63" t="str">
        <f t="shared" si="41"/>
        <v/>
      </c>
    </row>
    <row r="64" spans="1:56" x14ac:dyDescent="0.3">
      <c r="A64">
        <v>56</v>
      </c>
      <c r="J64" t="str">
        <f t="shared" si="21"/>
        <v/>
      </c>
      <c r="K64" t="str">
        <f t="shared" si="22"/>
        <v/>
      </c>
      <c r="N64" t="str">
        <f t="shared" si="23"/>
        <v/>
      </c>
      <c r="O64" t="str">
        <f t="shared" si="24"/>
        <v/>
      </c>
      <c r="V64" t="str">
        <f t="shared" si="25"/>
        <v/>
      </c>
      <c r="W64" t="str">
        <f t="shared" si="26"/>
        <v/>
      </c>
      <c r="Z64" t="str">
        <f t="shared" si="27"/>
        <v/>
      </c>
      <c r="AA64" t="str">
        <f t="shared" si="28"/>
        <v/>
      </c>
      <c r="AB64" t="str">
        <f t="shared" si="29"/>
        <v/>
      </c>
      <c r="AI64" t="str">
        <f t="shared" si="30"/>
        <v/>
      </c>
      <c r="AJ64" t="str">
        <f t="shared" si="31"/>
        <v/>
      </c>
      <c r="AM64" t="str">
        <f t="shared" si="32"/>
        <v/>
      </c>
      <c r="AN64" t="str">
        <f t="shared" si="33"/>
        <v/>
      </c>
      <c r="AU64" t="str">
        <f t="shared" si="34"/>
        <v/>
      </c>
      <c r="AV64" t="str">
        <f t="shared" si="35"/>
        <v/>
      </c>
      <c r="AY64" t="str">
        <f t="shared" si="36"/>
        <v/>
      </c>
      <c r="AZ64" t="str">
        <f t="shared" si="37"/>
        <v/>
      </c>
      <c r="BA64" t="str">
        <f t="shared" si="38"/>
        <v/>
      </c>
      <c r="BB64" t="str">
        <f t="shared" si="39"/>
        <v/>
      </c>
      <c r="BC64" t="str">
        <f t="shared" si="40"/>
        <v/>
      </c>
      <c r="BD64" t="str">
        <f t="shared" si="41"/>
        <v/>
      </c>
    </row>
    <row r="65" spans="1:56" x14ac:dyDescent="0.3">
      <c r="A65">
        <v>57</v>
      </c>
      <c r="J65" t="str">
        <f t="shared" si="21"/>
        <v/>
      </c>
      <c r="K65" t="str">
        <f t="shared" si="22"/>
        <v/>
      </c>
      <c r="N65" t="str">
        <f t="shared" si="23"/>
        <v/>
      </c>
      <c r="O65" t="str">
        <f t="shared" si="24"/>
        <v/>
      </c>
      <c r="V65" t="str">
        <f t="shared" si="25"/>
        <v/>
      </c>
      <c r="W65" t="str">
        <f t="shared" si="26"/>
        <v/>
      </c>
      <c r="Z65" t="str">
        <f t="shared" si="27"/>
        <v/>
      </c>
      <c r="AA65" t="str">
        <f t="shared" si="28"/>
        <v/>
      </c>
      <c r="AB65" t="str">
        <f t="shared" si="29"/>
        <v/>
      </c>
      <c r="AI65" t="str">
        <f t="shared" si="30"/>
        <v/>
      </c>
      <c r="AJ65" t="str">
        <f t="shared" si="31"/>
        <v/>
      </c>
      <c r="AM65" t="str">
        <f t="shared" si="32"/>
        <v/>
      </c>
      <c r="AN65" t="str">
        <f t="shared" si="33"/>
        <v/>
      </c>
      <c r="AU65" t="str">
        <f t="shared" si="34"/>
        <v/>
      </c>
      <c r="AV65" t="str">
        <f t="shared" si="35"/>
        <v/>
      </c>
      <c r="AY65" t="str">
        <f t="shared" si="36"/>
        <v/>
      </c>
      <c r="AZ65" t="str">
        <f t="shared" si="37"/>
        <v/>
      </c>
      <c r="BA65" t="str">
        <f t="shared" si="38"/>
        <v/>
      </c>
      <c r="BB65" t="str">
        <f t="shared" si="39"/>
        <v/>
      </c>
      <c r="BC65" t="str">
        <f t="shared" si="40"/>
        <v/>
      </c>
      <c r="BD65" t="str">
        <f t="shared" si="41"/>
        <v/>
      </c>
    </row>
    <row r="66" spans="1:56" x14ac:dyDescent="0.3">
      <c r="A66">
        <v>58</v>
      </c>
      <c r="J66" t="str">
        <f t="shared" si="21"/>
        <v/>
      </c>
      <c r="K66" t="str">
        <f t="shared" si="22"/>
        <v/>
      </c>
      <c r="N66" t="str">
        <f t="shared" si="23"/>
        <v/>
      </c>
      <c r="O66" t="str">
        <f t="shared" si="24"/>
        <v/>
      </c>
      <c r="V66" t="str">
        <f t="shared" si="25"/>
        <v/>
      </c>
      <c r="W66" t="str">
        <f t="shared" si="26"/>
        <v/>
      </c>
      <c r="Z66" t="str">
        <f t="shared" si="27"/>
        <v/>
      </c>
      <c r="AA66" t="str">
        <f t="shared" si="28"/>
        <v/>
      </c>
      <c r="AB66" t="str">
        <f t="shared" si="29"/>
        <v/>
      </c>
      <c r="AI66" t="str">
        <f t="shared" si="30"/>
        <v/>
      </c>
      <c r="AJ66" t="str">
        <f t="shared" si="31"/>
        <v/>
      </c>
      <c r="AM66" t="str">
        <f t="shared" si="32"/>
        <v/>
      </c>
      <c r="AN66" t="str">
        <f t="shared" si="33"/>
        <v/>
      </c>
      <c r="AU66" t="str">
        <f t="shared" si="34"/>
        <v/>
      </c>
      <c r="AV66" t="str">
        <f t="shared" si="35"/>
        <v/>
      </c>
      <c r="AY66" t="str">
        <f t="shared" si="36"/>
        <v/>
      </c>
      <c r="AZ66" t="str">
        <f t="shared" si="37"/>
        <v/>
      </c>
      <c r="BA66" t="str">
        <f t="shared" si="38"/>
        <v/>
      </c>
      <c r="BB66" t="str">
        <f t="shared" si="39"/>
        <v/>
      </c>
      <c r="BC66" t="str">
        <f t="shared" si="40"/>
        <v/>
      </c>
      <c r="BD66" t="str">
        <f t="shared" si="41"/>
        <v/>
      </c>
    </row>
    <row r="67" spans="1:56" x14ac:dyDescent="0.3">
      <c r="A67">
        <v>59</v>
      </c>
      <c r="J67" t="str">
        <f t="shared" si="21"/>
        <v/>
      </c>
      <c r="K67" t="str">
        <f t="shared" si="22"/>
        <v/>
      </c>
      <c r="N67" t="str">
        <f t="shared" si="23"/>
        <v/>
      </c>
      <c r="O67" t="str">
        <f t="shared" si="24"/>
        <v/>
      </c>
      <c r="V67" t="str">
        <f t="shared" si="25"/>
        <v/>
      </c>
      <c r="W67" t="str">
        <f t="shared" si="26"/>
        <v/>
      </c>
      <c r="Z67" t="str">
        <f t="shared" si="27"/>
        <v/>
      </c>
      <c r="AA67" t="str">
        <f t="shared" si="28"/>
        <v/>
      </c>
      <c r="AB67" t="str">
        <f t="shared" si="29"/>
        <v/>
      </c>
      <c r="AI67" t="str">
        <f t="shared" si="30"/>
        <v/>
      </c>
      <c r="AJ67" t="str">
        <f t="shared" si="31"/>
        <v/>
      </c>
      <c r="AM67" t="str">
        <f t="shared" si="32"/>
        <v/>
      </c>
      <c r="AN67" t="str">
        <f t="shared" si="33"/>
        <v/>
      </c>
      <c r="AU67" t="str">
        <f t="shared" si="34"/>
        <v/>
      </c>
      <c r="AV67" t="str">
        <f t="shared" si="35"/>
        <v/>
      </c>
      <c r="AY67" t="str">
        <f t="shared" si="36"/>
        <v/>
      </c>
      <c r="AZ67" t="str">
        <f t="shared" si="37"/>
        <v/>
      </c>
      <c r="BA67" t="str">
        <f t="shared" si="38"/>
        <v/>
      </c>
      <c r="BB67" t="str">
        <f t="shared" si="39"/>
        <v/>
      </c>
      <c r="BC67" t="str">
        <f t="shared" si="40"/>
        <v/>
      </c>
      <c r="BD67" t="str">
        <f t="shared" si="41"/>
        <v/>
      </c>
    </row>
    <row r="68" spans="1:56" x14ac:dyDescent="0.3">
      <c r="A68">
        <v>60</v>
      </c>
      <c r="J68" t="str">
        <f t="shared" si="21"/>
        <v/>
      </c>
      <c r="K68" t="str">
        <f t="shared" si="22"/>
        <v/>
      </c>
      <c r="N68" t="str">
        <f t="shared" si="23"/>
        <v/>
      </c>
      <c r="O68" t="str">
        <f t="shared" si="24"/>
        <v/>
      </c>
      <c r="V68" t="str">
        <f t="shared" si="25"/>
        <v/>
      </c>
      <c r="W68" t="str">
        <f t="shared" si="26"/>
        <v/>
      </c>
      <c r="Z68" t="str">
        <f t="shared" si="27"/>
        <v/>
      </c>
      <c r="AA68" t="str">
        <f t="shared" si="28"/>
        <v/>
      </c>
      <c r="AB68" t="str">
        <f t="shared" si="29"/>
        <v/>
      </c>
      <c r="AI68" t="str">
        <f t="shared" si="30"/>
        <v/>
      </c>
      <c r="AJ68" t="str">
        <f t="shared" si="31"/>
        <v/>
      </c>
      <c r="AM68" t="str">
        <f t="shared" si="32"/>
        <v/>
      </c>
      <c r="AN68" t="str">
        <f t="shared" si="33"/>
        <v/>
      </c>
      <c r="AU68" t="str">
        <f t="shared" si="34"/>
        <v/>
      </c>
      <c r="AV68" t="str">
        <f t="shared" si="35"/>
        <v/>
      </c>
      <c r="AY68" t="str">
        <f t="shared" si="36"/>
        <v/>
      </c>
      <c r="AZ68" t="str">
        <f t="shared" si="37"/>
        <v/>
      </c>
      <c r="BA68" t="str">
        <f t="shared" si="38"/>
        <v/>
      </c>
      <c r="BB68" t="str">
        <f t="shared" si="39"/>
        <v/>
      </c>
      <c r="BC68" t="str">
        <f t="shared" si="40"/>
        <v/>
      </c>
      <c r="BD68" t="str">
        <f t="shared" si="41"/>
        <v/>
      </c>
    </row>
  </sheetData>
  <mergeCells count="28">
    <mergeCell ref="A1:BD1"/>
    <mergeCell ref="BB6:BB7"/>
    <mergeCell ref="AB5:AB7"/>
    <mergeCell ref="A5:C7"/>
    <mergeCell ref="BD6:BD7"/>
    <mergeCell ref="AK6:AK7"/>
    <mergeCell ref="M6:N6"/>
    <mergeCell ref="D5:O5"/>
    <mergeCell ref="Y6:Z6"/>
    <mergeCell ref="L6:L7"/>
    <mergeCell ref="P5:AA5"/>
    <mergeCell ref="BC6:BC7"/>
    <mergeCell ref="AC6:AJ6"/>
    <mergeCell ref="AO6:AV6"/>
    <mergeCell ref="O6:O7"/>
    <mergeCell ref="AN6:AN7"/>
    <mergeCell ref="X6:X7"/>
    <mergeCell ref="AW6:AW7"/>
    <mergeCell ref="D6:K6"/>
    <mergeCell ref="P6:W6"/>
    <mergeCell ref="AO5:AZ5"/>
    <mergeCell ref="AZ6:AZ7"/>
    <mergeCell ref="BB5:BD5"/>
    <mergeCell ref="AL6:AM6"/>
    <mergeCell ref="AX6:AY6"/>
    <mergeCell ref="AA6:AA7"/>
    <mergeCell ref="AC5:AN5"/>
    <mergeCell ref="BA5:B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O47"/>
  <sheetViews>
    <sheetView workbookViewId="0">
      <selection activeCell="D13" sqref="D13"/>
    </sheetView>
  </sheetViews>
  <sheetFormatPr defaultRowHeight="14.4" x14ac:dyDescent="0.3"/>
  <cols>
    <col min="1" max="1" width="5" customWidth="1"/>
    <col min="2" max="2" width="12" customWidth="1"/>
    <col min="3" max="3" width="5" customWidth="1"/>
    <col min="4" max="4" width="10" customWidth="1"/>
    <col min="5" max="7" width="6" customWidth="1"/>
    <col min="8" max="8" width="5" customWidth="1"/>
    <col min="9" max="9" width="12" customWidth="1"/>
    <col min="10" max="10" width="5" customWidth="1"/>
    <col min="11" max="11" width="10" customWidth="1"/>
    <col min="12" max="15" width="6" customWidth="1"/>
  </cols>
  <sheetData>
    <row r="5" spans="1:15" x14ac:dyDescent="0.3">
      <c r="A5" t="s">
        <v>49</v>
      </c>
      <c r="B5">
        <v>1</v>
      </c>
      <c r="L5" t="s">
        <v>9</v>
      </c>
    </row>
    <row r="6" spans="1:15" ht="18" x14ac:dyDescent="0.3">
      <c r="A6" t="s">
        <v>50</v>
      </c>
      <c r="B6">
        <v>1.25</v>
      </c>
      <c r="E6" s="36" t="s">
        <v>51</v>
      </c>
      <c r="F6" s="23"/>
      <c r="G6" s="23"/>
      <c r="H6" s="23"/>
      <c r="I6" s="23"/>
      <c r="L6" s="21" t="str">
        <f>'Subject Profile'!D12</f>
        <v>BSITCPR323</v>
      </c>
      <c r="M6" s="21"/>
      <c r="N6" s="21"/>
      <c r="O6" s="21"/>
    </row>
    <row r="7" spans="1:15" ht="18" x14ac:dyDescent="0.3">
      <c r="A7" t="s">
        <v>52</v>
      </c>
      <c r="B7">
        <v>1.5</v>
      </c>
      <c r="E7" s="36" t="s">
        <v>53</v>
      </c>
      <c r="F7" s="23"/>
      <c r="G7" s="23"/>
      <c r="H7" s="23"/>
      <c r="I7" s="23"/>
      <c r="L7" t="s">
        <v>11</v>
      </c>
    </row>
    <row r="8" spans="1:15" x14ac:dyDescent="0.3">
      <c r="A8" t="s">
        <v>54</v>
      </c>
      <c r="B8">
        <v>1.75</v>
      </c>
      <c r="L8" s="21" t="str">
        <f>'Subject Profile'!D14</f>
        <v>Capstone and Research 1</v>
      </c>
      <c r="M8" s="21"/>
      <c r="N8" s="21"/>
      <c r="O8" s="21"/>
    </row>
    <row r="9" spans="1:15" x14ac:dyDescent="0.3">
      <c r="A9" t="s">
        <v>55</v>
      </c>
      <c r="B9">
        <v>2</v>
      </c>
      <c r="L9" t="s">
        <v>6</v>
      </c>
    </row>
    <row r="10" spans="1:15" x14ac:dyDescent="0.3">
      <c r="A10" t="s">
        <v>56</v>
      </c>
      <c r="B10">
        <v>2.25</v>
      </c>
      <c r="E10" s="24" t="s">
        <v>57</v>
      </c>
      <c r="F10" s="23"/>
      <c r="G10" s="23"/>
      <c r="H10" s="23"/>
      <c r="I10" s="23"/>
      <c r="L10" s="21" t="str">
        <f>'Subject Profile'!D10</f>
        <v>College of Computer Studies</v>
      </c>
      <c r="M10" s="21"/>
      <c r="N10" s="21"/>
      <c r="O10" s="21"/>
    </row>
    <row r="11" spans="1:15" x14ac:dyDescent="0.3">
      <c r="A11" t="s">
        <v>58</v>
      </c>
      <c r="B11">
        <v>2.5</v>
      </c>
      <c r="L11" s="23" t="s">
        <v>10</v>
      </c>
      <c r="M11" s="23"/>
      <c r="N11" s="23"/>
      <c r="O11" s="23"/>
    </row>
    <row r="12" spans="1:15" x14ac:dyDescent="0.3">
      <c r="A12" t="s">
        <v>59</v>
      </c>
      <c r="B12">
        <v>2.75</v>
      </c>
      <c r="E12" s="34" t="str">
        <f>'Subject Profile'!D15 &amp; "   -   " &amp; 'Subject Profile'!D17</f>
        <v>2nd Sem   -   2025-2026</v>
      </c>
      <c r="F12" s="21"/>
      <c r="G12" s="21"/>
      <c r="H12" s="21"/>
      <c r="I12" s="21"/>
      <c r="L12" t="s">
        <v>12</v>
      </c>
      <c r="M12" s="35" t="str">
        <f>'Subject Profile'!I14</f>
        <v>Sat</v>
      </c>
      <c r="N12" s="21"/>
      <c r="O12" s="21"/>
    </row>
    <row r="13" spans="1:15" x14ac:dyDescent="0.3">
      <c r="A13" t="s">
        <v>60</v>
      </c>
      <c r="B13">
        <v>3</v>
      </c>
      <c r="L13" t="s">
        <v>15</v>
      </c>
      <c r="M13" s="35" t="str">
        <f>'Subject Profile'!I15</f>
        <v>7:00 - 10:00</v>
      </c>
      <c r="N13" s="21"/>
      <c r="O13" s="21"/>
    </row>
    <row r="14" spans="1:15" x14ac:dyDescent="0.3">
      <c r="A14" t="s">
        <v>61</v>
      </c>
      <c r="B14">
        <v>5</v>
      </c>
      <c r="D14" t="s">
        <v>19</v>
      </c>
      <c r="E14" s="34" t="str">
        <f>'Subject Profile'!D18</f>
        <v>BSIT</v>
      </c>
      <c r="F14" s="21"/>
      <c r="H14" s="18" t="s">
        <v>20</v>
      </c>
      <c r="I14" s="34" t="str">
        <f>'Subject Profile'!D19</f>
        <v>IT3A</v>
      </c>
      <c r="J14" s="21"/>
    </row>
    <row r="15" spans="1:15" x14ac:dyDescent="0.3">
      <c r="A15" t="s">
        <v>62</v>
      </c>
      <c r="B15" t="s">
        <v>63</v>
      </c>
      <c r="N15" s="17">
        <f>'Subject Profile'!I10</f>
        <v>3</v>
      </c>
      <c r="O15" s="8"/>
    </row>
    <row r="16" spans="1:15" x14ac:dyDescent="0.3">
      <c r="A16" t="s">
        <v>64</v>
      </c>
      <c r="B16" t="s">
        <v>65</v>
      </c>
    </row>
    <row r="17" spans="1:14" x14ac:dyDescent="0.3">
      <c r="A17" s="14" t="s">
        <v>45</v>
      </c>
      <c r="B17" s="28" t="s">
        <v>66</v>
      </c>
      <c r="C17" s="29"/>
      <c r="D17" s="29"/>
      <c r="E17" s="14" t="s">
        <v>67</v>
      </c>
      <c r="F17" s="14" t="s">
        <v>68</v>
      </c>
      <c r="G17" s="14" t="s">
        <v>69</v>
      </c>
      <c r="H17" s="14" t="s">
        <v>45</v>
      </c>
      <c r="I17" s="28" t="s">
        <v>66</v>
      </c>
      <c r="J17" s="29"/>
      <c r="K17" s="29"/>
      <c r="L17" s="14" t="s">
        <v>67</v>
      </c>
      <c r="M17" s="14" t="s">
        <v>68</v>
      </c>
      <c r="N17" s="14" t="s">
        <v>69</v>
      </c>
    </row>
    <row r="18" spans="1:14" x14ac:dyDescent="0.3">
      <c r="A18" s="19">
        <v>1</v>
      </c>
      <c r="B18" s="27" t="str">
        <f>'Record Sheet'!C9</f>
        <v>GABRIEL, JOHN CHRISTIAN C.</v>
      </c>
      <c r="C18" s="27"/>
      <c r="D18" s="27"/>
      <c r="E18" s="13" t="str">
        <f>IF('Record Sheet'!C9="", "", 'Record Sheet'!AB9&amp;"%")</f>
        <v>89%</v>
      </c>
      <c r="F18" s="13" t="str">
        <f>IF('Record Sheet'!C9="", "", 'Record Sheet'!BA9&amp;"%")</f>
        <v>91%</v>
      </c>
      <c r="G18" s="13">
        <f>IF('Record Sheet'!C9="", "", 'Record Sheet'!BC9)</f>
        <v>1.75</v>
      </c>
      <c r="H18" s="19">
        <v>31</v>
      </c>
      <c r="I18" s="27">
        <f>'Record Sheet'!C39</f>
        <v>0</v>
      </c>
      <c r="J18" s="27"/>
      <c r="K18" s="27"/>
      <c r="L18" s="13" t="str">
        <f>IF('Record Sheet'!C39="", "", 'Record Sheet'!AB39&amp;"%")</f>
        <v/>
      </c>
      <c r="M18" s="13" t="str">
        <f>IF('Record Sheet'!C39="", "", 'Record Sheet'!BA39&amp;"%")</f>
        <v/>
      </c>
      <c r="N18" s="13" t="str">
        <f>IF('Record Sheet'!C39="", "", 'Record Sheet'!BC39)</f>
        <v/>
      </c>
    </row>
    <row r="19" spans="1:14" x14ac:dyDescent="0.3">
      <c r="A19" s="19">
        <v>2</v>
      </c>
      <c r="B19" s="27" t="str">
        <f>'Record Sheet'!C10</f>
        <v>SATIAGO, MARK ANGELO</v>
      </c>
      <c r="C19" s="27"/>
      <c r="D19" s="27"/>
      <c r="E19" s="13" t="str">
        <f>IF('Record Sheet'!C10="", "", 'Record Sheet'!AB10&amp;"%")</f>
        <v>91%</v>
      </c>
      <c r="F19" s="13" t="str">
        <f>IF('Record Sheet'!C10="", "", 'Record Sheet'!BA10&amp;"%")</f>
        <v>80%</v>
      </c>
      <c r="G19" s="13">
        <f>IF('Record Sheet'!C10="", "", 'Record Sheet'!BC10)</f>
        <v>2</v>
      </c>
      <c r="H19" s="19">
        <v>32</v>
      </c>
      <c r="I19" s="27">
        <f>'Record Sheet'!C40</f>
        <v>0</v>
      </c>
      <c r="J19" s="27"/>
      <c r="K19" s="27"/>
      <c r="L19" s="13" t="str">
        <f>IF('Record Sheet'!C40="", "", 'Record Sheet'!AB40&amp;"%")</f>
        <v/>
      </c>
      <c r="M19" s="13" t="str">
        <f>IF('Record Sheet'!C40="", "", 'Record Sheet'!BA40&amp;"%")</f>
        <v/>
      </c>
      <c r="N19" s="13" t="str">
        <f>IF('Record Sheet'!C40="", "", 'Record Sheet'!BC40)</f>
        <v/>
      </c>
    </row>
    <row r="20" spans="1:14" x14ac:dyDescent="0.3">
      <c r="A20" s="19">
        <v>3</v>
      </c>
      <c r="B20" s="27" t="str">
        <f>'Record Sheet'!C11</f>
        <v>CELESTINO, CARLO</v>
      </c>
      <c r="C20" s="27"/>
      <c r="D20" s="27"/>
      <c r="E20" s="13" t="str">
        <f>IF('Record Sheet'!C11="", "", 'Record Sheet'!AB11&amp;"%")</f>
        <v>89%</v>
      </c>
      <c r="F20" s="13" t="str">
        <f>IF('Record Sheet'!C11="", "", 'Record Sheet'!BA11&amp;"%")</f>
        <v>85%</v>
      </c>
      <c r="G20" s="13">
        <f>IF('Record Sheet'!C11="", "", 'Record Sheet'!BC11)</f>
        <v>2</v>
      </c>
      <c r="H20" s="19">
        <v>33</v>
      </c>
      <c r="I20" s="27">
        <f>'Record Sheet'!C41</f>
        <v>0</v>
      </c>
      <c r="J20" s="27"/>
      <c r="K20" s="27"/>
      <c r="L20" s="13" t="str">
        <f>IF('Record Sheet'!C41="", "", 'Record Sheet'!AB41&amp;"%")</f>
        <v/>
      </c>
      <c r="M20" s="13" t="str">
        <f>IF('Record Sheet'!C41="", "", 'Record Sheet'!BA41&amp;"%")</f>
        <v/>
      </c>
      <c r="N20" s="13" t="str">
        <f>IF('Record Sheet'!C41="", "", 'Record Sheet'!BC41)</f>
        <v/>
      </c>
    </row>
    <row r="21" spans="1:14" x14ac:dyDescent="0.3">
      <c r="A21" s="19">
        <v>4</v>
      </c>
      <c r="B21" s="27">
        <f>'Record Sheet'!C12</f>
        <v>0</v>
      </c>
      <c r="C21" s="27"/>
      <c r="D21" s="27"/>
      <c r="E21" s="13" t="str">
        <f>IF('Record Sheet'!C12="", "", 'Record Sheet'!AB12&amp;"%")</f>
        <v/>
      </c>
      <c r="F21" s="13" t="str">
        <f>IF('Record Sheet'!C12="", "", 'Record Sheet'!BA12&amp;"%")</f>
        <v/>
      </c>
      <c r="G21" s="13" t="str">
        <f>IF('Record Sheet'!C12="", "", 'Record Sheet'!BC12)</f>
        <v/>
      </c>
      <c r="H21" s="19">
        <v>34</v>
      </c>
      <c r="I21" s="27">
        <f>'Record Sheet'!C42</f>
        <v>0</v>
      </c>
      <c r="J21" s="27"/>
      <c r="K21" s="27"/>
      <c r="L21" s="13" t="str">
        <f>IF('Record Sheet'!C42="", "", 'Record Sheet'!AB42&amp;"%")</f>
        <v/>
      </c>
      <c r="M21" s="13" t="str">
        <f>IF('Record Sheet'!C42="", "", 'Record Sheet'!BA42&amp;"%")</f>
        <v/>
      </c>
      <c r="N21" s="13" t="str">
        <f>IF('Record Sheet'!C42="", "", 'Record Sheet'!BC42)</f>
        <v/>
      </c>
    </row>
    <row r="22" spans="1:14" x14ac:dyDescent="0.3">
      <c r="A22" s="19">
        <v>5</v>
      </c>
      <c r="B22" s="27">
        <f>'Record Sheet'!C13</f>
        <v>0</v>
      </c>
      <c r="C22" s="27"/>
      <c r="D22" s="27"/>
      <c r="E22" s="13" t="str">
        <f>IF('Record Sheet'!C13="", "", 'Record Sheet'!AB13&amp;"%")</f>
        <v/>
      </c>
      <c r="F22" s="13" t="str">
        <f>IF('Record Sheet'!C13="", "", 'Record Sheet'!BA13&amp;"%")</f>
        <v/>
      </c>
      <c r="G22" s="13" t="str">
        <f>IF('Record Sheet'!C13="", "", 'Record Sheet'!BC13)</f>
        <v/>
      </c>
      <c r="H22" s="19">
        <v>35</v>
      </c>
      <c r="I22" s="27">
        <f>'Record Sheet'!C43</f>
        <v>0</v>
      </c>
      <c r="J22" s="27"/>
      <c r="K22" s="27"/>
      <c r="L22" s="13" t="str">
        <f>IF('Record Sheet'!C43="", "", 'Record Sheet'!AB43&amp;"%")</f>
        <v/>
      </c>
      <c r="M22" s="13" t="str">
        <f>IF('Record Sheet'!C43="", "", 'Record Sheet'!BA43&amp;"%")</f>
        <v/>
      </c>
      <c r="N22" s="13" t="str">
        <f>IF('Record Sheet'!C43="", "", 'Record Sheet'!BC43)</f>
        <v/>
      </c>
    </row>
    <row r="23" spans="1:14" x14ac:dyDescent="0.3">
      <c r="A23" s="19">
        <v>6</v>
      </c>
      <c r="B23" s="27">
        <f>'Record Sheet'!C14</f>
        <v>0</v>
      </c>
      <c r="C23" s="27"/>
      <c r="D23" s="27"/>
      <c r="E23" s="13" t="str">
        <f>IF('Record Sheet'!C14="", "", 'Record Sheet'!AB14&amp;"%")</f>
        <v/>
      </c>
      <c r="F23" s="13" t="str">
        <f>IF('Record Sheet'!C14="", "", 'Record Sheet'!BA14&amp;"%")</f>
        <v/>
      </c>
      <c r="G23" s="13" t="str">
        <f>IF('Record Sheet'!C14="", "", 'Record Sheet'!BC14)</f>
        <v/>
      </c>
      <c r="H23" s="19">
        <v>36</v>
      </c>
      <c r="I23" s="27">
        <f>'Record Sheet'!C44</f>
        <v>0</v>
      </c>
      <c r="J23" s="27"/>
      <c r="K23" s="27"/>
      <c r="L23" s="13" t="str">
        <f>IF('Record Sheet'!C44="", "", 'Record Sheet'!AB44&amp;"%")</f>
        <v/>
      </c>
      <c r="M23" s="13" t="str">
        <f>IF('Record Sheet'!C44="", "", 'Record Sheet'!BA44&amp;"%")</f>
        <v/>
      </c>
      <c r="N23" s="13" t="str">
        <f>IF('Record Sheet'!C44="", "", 'Record Sheet'!BC44)</f>
        <v/>
      </c>
    </row>
    <row r="24" spans="1:14" x14ac:dyDescent="0.3">
      <c r="A24" s="19">
        <v>7</v>
      </c>
      <c r="B24" s="27">
        <f>'Record Sheet'!C15</f>
        <v>0</v>
      </c>
      <c r="C24" s="27"/>
      <c r="D24" s="27"/>
      <c r="E24" s="13" t="str">
        <f>IF('Record Sheet'!C15="", "", 'Record Sheet'!AB15&amp;"%")</f>
        <v/>
      </c>
      <c r="F24" s="13" t="str">
        <f>IF('Record Sheet'!C15="", "", 'Record Sheet'!BA15&amp;"%")</f>
        <v/>
      </c>
      <c r="G24" s="13" t="str">
        <f>IF('Record Sheet'!C15="", "", 'Record Sheet'!BC15)</f>
        <v/>
      </c>
      <c r="H24" s="19">
        <v>37</v>
      </c>
      <c r="I24" s="27">
        <f>'Record Sheet'!C45</f>
        <v>0</v>
      </c>
      <c r="J24" s="27"/>
      <c r="K24" s="27"/>
      <c r="L24" s="13" t="str">
        <f>IF('Record Sheet'!C45="", "", 'Record Sheet'!AB45&amp;"%")</f>
        <v/>
      </c>
      <c r="M24" s="13" t="str">
        <f>IF('Record Sheet'!C45="", "", 'Record Sheet'!BA45&amp;"%")</f>
        <v/>
      </c>
      <c r="N24" s="13" t="str">
        <f>IF('Record Sheet'!C45="", "", 'Record Sheet'!BC45)</f>
        <v/>
      </c>
    </row>
    <row r="25" spans="1:14" x14ac:dyDescent="0.3">
      <c r="A25" s="19">
        <v>8</v>
      </c>
      <c r="B25" s="27">
        <f>'Record Sheet'!C16</f>
        <v>0</v>
      </c>
      <c r="C25" s="27"/>
      <c r="D25" s="27"/>
      <c r="E25" s="13" t="str">
        <f>IF('Record Sheet'!C16="", "", 'Record Sheet'!AB16&amp;"%")</f>
        <v/>
      </c>
      <c r="F25" s="13" t="str">
        <f>IF('Record Sheet'!C16="", "", 'Record Sheet'!BA16&amp;"%")</f>
        <v/>
      </c>
      <c r="G25" s="13" t="str">
        <f>IF('Record Sheet'!C16="", "", 'Record Sheet'!BC16)</f>
        <v/>
      </c>
      <c r="H25" s="19">
        <v>38</v>
      </c>
      <c r="I25" s="27">
        <f>'Record Sheet'!C46</f>
        <v>0</v>
      </c>
      <c r="J25" s="27"/>
      <c r="K25" s="27"/>
      <c r="L25" s="13" t="str">
        <f>IF('Record Sheet'!C46="", "", 'Record Sheet'!AB46&amp;"%")</f>
        <v/>
      </c>
      <c r="M25" s="13" t="str">
        <f>IF('Record Sheet'!C46="", "", 'Record Sheet'!BA46&amp;"%")</f>
        <v/>
      </c>
      <c r="N25" s="13" t="str">
        <f>IF('Record Sheet'!C46="", "", 'Record Sheet'!BC46)</f>
        <v/>
      </c>
    </row>
    <row r="26" spans="1:14" x14ac:dyDescent="0.3">
      <c r="A26" s="19">
        <v>9</v>
      </c>
      <c r="B26" s="27">
        <f>'Record Sheet'!C17</f>
        <v>0</v>
      </c>
      <c r="C26" s="27"/>
      <c r="D26" s="27"/>
      <c r="E26" s="13" t="str">
        <f>IF('Record Sheet'!C17="", "", 'Record Sheet'!AB17&amp;"%")</f>
        <v/>
      </c>
      <c r="F26" s="13" t="str">
        <f>IF('Record Sheet'!C17="", "", 'Record Sheet'!BA17&amp;"%")</f>
        <v/>
      </c>
      <c r="G26" s="13" t="str">
        <f>IF('Record Sheet'!C17="", "", 'Record Sheet'!BC17)</f>
        <v/>
      </c>
      <c r="H26" s="19">
        <v>39</v>
      </c>
      <c r="I26" s="27">
        <f>'Record Sheet'!C47</f>
        <v>0</v>
      </c>
      <c r="J26" s="27"/>
      <c r="K26" s="27"/>
      <c r="L26" s="13" t="str">
        <f>IF('Record Sheet'!C47="", "", 'Record Sheet'!AB47&amp;"%")</f>
        <v/>
      </c>
      <c r="M26" s="13" t="str">
        <f>IF('Record Sheet'!C47="", "", 'Record Sheet'!BA47&amp;"%")</f>
        <v/>
      </c>
      <c r="N26" s="13" t="str">
        <f>IF('Record Sheet'!C47="", "", 'Record Sheet'!BC47)</f>
        <v/>
      </c>
    </row>
    <row r="27" spans="1:14" x14ac:dyDescent="0.3">
      <c r="A27" s="19">
        <v>10</v>
      </c>
      <c r="B27" s="27">
        <f>'Record Sheet'!C18</f>
        <v>0</v>
      </c>
      <c r="C27" s="27"/>
      <c r="D27" s="27"/>
      <c r="E27" s="13" t="str">
        <f>IF('Record Sheet'!C18="", "", 'Record Sheet'!AB18&amp;"%")</f>
        <v/>
      </c>
      <c r="F27" s="13" t="str">
        <f>IF('Record Sheet'!C18="", "", 'Record Sheet'!BA18&amp;"%")</f>
        <v/>
      </c>
      <c r="G27" s="13" t="str">
        <f>IF('Record Sheet'!C18="", "", 'Record Sheet'!BC18)</f>
        <v/>
      </c>
      <c r="H27" s="19">
        <v>40</v>
      </c>
      <c r="I27" s="27">
        <f>'Record Sheet'!C48</f>
        <v>0</v>
      </c>
      <c r="J27" s="27"/>
      <c r="K27" s="27"/>
      <c r="L27" s="13" t="str">
        <f>IF('Record Sheet'!C48="", "", 'Record Sheet'!AB48&amp;"%")</f>
        <v/>
      </c>
      <c r="M27" s="13" t="str">
        <f>IF('Record Sheet'!C48="", "", 'Record Sheet'!BA48&amp;"%")</f>
        <v/>
      </c>
      <c r="N27" s="13" t="str">
        <f>IF('Record Sheet'!C48="", "", 'Record Sheet'!BC48)</f>
        <v/>
      </c>
    </row>
    <row r="28" spans="1:14" x14ac:dyDescent="0.3">
      <c r="A28" s="19">
        <v>11</v>
      </c>
      <c r="B28" s="27">
        <f>'Record Sheet'!C19</f>
        <v>0</v>
      </c>
      <c r="C28" s="27"/>
      <c r="D28" s="27"/>
      <c r="E28" s="13" t="str">
        <f>IF('Record Sheet'!C19="", "", 'Record Sheet'!AB19&amp;"%")</f>
        <v/>
      </c>
      <c r="F28" s="13" t="str">
        <f>IF('Record Sheet'!C19="", "", 'Record Sheet'!BA19&amp;"%")</f>
        <v/>
      </c>
      <c r="G28" s="13" t="str">
        <f>IF('Record Sheet'!C19="", "", 'Record Sheet'!BC19)</f>
        <v/>
      </c>
      <c r="H28" s="19">
        <v>41</v>
      </c>
      <c r="I28" s="27">
        <f>'Record Sheet'!C49</f>
        <v>0</v>
      </c>
      <c r="J28" s="27"/>
      <c r="K28" s="27"/>
      <c r="L28" s="13" t="str">
        <f>IF('Record Sheet'!C49="", "", 'Record Sheet'!AB49&amp;"%")</f>
        <v/>
      </c>
      <c r="M28" s="13" t="str">
        <f>IF('Record Sheet'!C49="", "", 'Record Sheet'!BA49&amp;"%")</f>
        <v/>
      </c>
      <c r="N28" s="13" t="str">
        <f>IF('Record Sheet'!C49="", "", 'Record Sheet'!BC49)</f>
        <v/>
      </c>
    </row>
    <row r="29" spans="1:14" x14ac:dyDescent="0.3">
      <c r="A29" s="19">
        <v>12</v>
      </c>
      <c r="B29" s="27">
        <f>'Record Sheet'!C20</f>
        <v>0</v>
      </c>
      <c r="C29" s="27"/>
      <c r="D29" s="27"/>
      <c r="E29" s="13" t="str">
        <f>IF('Record Sheet'!C20="", "", 'Record Sheet'!AB20&amp;"%")</f>
        <v/>
      </c>
      <c r="F29" s="13" t="str">
        <f>IF('Record Sheet'!C20="", "", 'Record Sheet'!BA20&amp;"%")</f>
        <v/>
      </c>
      <c r="G29" s="13" t="str">
        <f>IF('Record Sheet'!C20="", "", 'Record Sheet'!BC20)</f>
        <v/>
      </c>
      <c r="H29" s="19">
        <v>42</v>
      </c>
      <c r="I29" s="27">
        <f>'Record Sheet'!C50</f>
        <v>0</v>
      </c>
      <c r="J29" s="27"/>
      <c r="K29" s="27"/>
      <c r="L29" s="13" t="str">
        <f>IF('Record Sheet'!C50="", "", 'Record Sheet'!AB50&amp;"%")</f>
        <v/>
      </c>
      <c r="M29" s="13" t="str">
        <f>IF('Record Sheet'!C50="", "", 'Record Sheet'!BA50&amp;"%")</f>
        <v/>
      </c>
      <c r="N29" s="13" t="str">
        <f>IF('Record Sheet'!C50="", "", 'Record Sheet'!BC50)</f>
        <v/>
      </c>
    </row>
    <row r="30" spans="1:14" x14ac:dyDescent="0.3">
      <c r="A30" s="19">
        <v>13</v>
      </c>
      <c r="B30" s="27">
        <f>'Record Sheet'!C21</f>
        <v>0</v>
      </c>
      <c r="C30" s="27"/>
      <c r="D30" s="27"/>
      <c r="E30" s="13" t="str">
        <f>IF('Record Sheet'!C21="", "", 'Record Sheet'!AB21&amp;"%")</f>
        <v/>
      </c>
      <c r="F30" s="13" t="str">
        <f>IF('Record Sheet'!C21="", "", 'Record Sheet'!BA21&amp;"%")</f>
        <v/>
      </c>
      <c r="G30" s="13" t="str">
        <f>IF('Record Sheet'!C21="", "", 'Record Sheet'!BC21)</f>
        <v/>
      </c>
      <c r="H30" s="19">
        <v>43</v>
      </c>
      <c r="I30" s="27">
        <f>'Record Sheet'!C51</f>
        <v>0</v>
      </c>
      <c r="J30" s="27"/>
      <c r="K30" s="27"/>
      <c r="L30" s="13" t="str">
        <f>IF('Record Sheet'!C51="", "", 'Record Sheet'!AB51&amp;"%")</f>
        <v/>
      </c>
      <c r="M30" s="13" t="str">
        <f>IF('Record Sheet'!C51="", "", 'Record Sheet'!BA51&amp;"%")</f>
        <v/>
      </c>
      <c r="N30" s="13" t="str">
        <f>IF('Record Sheet'!C51="", "", 'Record Sheet'!BC51)</f>
        <v/>
      </c>
    </row>
    <row r="31" spans="1:14" x14ac:dyDescent="0.3">
      <c r="A31" s="19">
        <v>14</v>
      </c>
      <c r="B31" s="27">
        <f>'Record Sheet'!C22</f>
        <v>0</v>
      </c>
      <c r="C31" s="27"/>
      <c r="D31" s="27"/>
      <c r="E31" s="13" t="str">
        <f>IF('Record Sheet'!C22="", "", 'Record Sheet'!AB22&amp;"%")</f>
        <v/>
      </c>
      <c r="F31" s="13" t="str">
        <f>IF('Record Sheet'!C22="", "", 'Record Sheet'!BA22&amp;"%")</f>
        <v/>
      </c>
      <c r="G31" s="13" t="str">
        <f>IF('Record Sheet'!C22="", "", 'Record Sheet'!BC22)</f>
        <v/>
      </c>
      <c r="H31" s="19">
        <v>44</v>
      </c>
      <c r="I31" s="27">
        <f>'Record Sheet'!C52</f>
        <v>0</v>
      </c>
      <c r="J31" s="27"/>
      <c r="K31" s="27"/>
      <c r="L31" s="13" t="str">
        <f>IF('Record Sheet'!C52="", "", 'Record Sheet'!AB52&amp;"%")</f>
        <v/>
      </c>
      <c r="M31" s="13" t="str">
        <f>IF('Record Sheet'!C52="", "", 'Record Sheet'!BA52&amp;"%")</f>
        <v/>
      </c>
      <c r="N31" s="13" t="str">
        <f>IF('Record Sheet'!C52="", "", 'Record Sheet'!BC52)</f>
        <v/>
      </c>
    </row>
    <row r="32" spans="1:14" x14ac:dyDescent="0.3">
      <c r="A32" s="19">
        <v>15</v>
      </c>
      <c r="B32" s="27">
        <f>'Record Sheet'!C23</f>
        <v>0</v>
      </c>
      <c r="C32" s="27"/>
      <c r="D32" s="27"/>
      <c r="E32" s="13" t="str">
        <f>IF('Record Sheet'!C23="", "", 'Record Sheet'!AB23&amp;"%")</f>
        <v/>
      </c>
      <c r="F32" s="13" t="str">
        <f>IF('Record Sheet'!C23="", "", 'Record Sheet'!BA23&amp;"%")</f>
        <v/>
      </c>
      <c r="G32" s="13" t="str">
        <f>IF('Record Sheet'!C23="", "", 'Record Sheet'!BC23)</f>
        <v/>
      </c>
      <c r="H32" s="19">
        <v>45</v>
      </c>
      <c r="I32" s="27">
        <f>'Record Sheet'!C53</f>
        <v>0</v>
      </c>
      <c r="J32" s="27"/>
      <c r="K32" s="27"/>
      <c r="L32" s="13" t="str">
        <f>IF('Record Sheet'!C53="", "", 'Record Sheet'!AB53&amp;"%")</f>
        <v/>
      </c>
      <c r="M32" s="13" t="str">
        <f>IF('Record Sheet'!C53="", "", 'Record Sheet'!BA53&amp;"%")</f>
        <v/>
      </c>
      <c r="N32" s="13" t="str">
        <f>IF('Record Sheet'!C53="", "", 'Record Sheet'!BC53)</f>
        <v/>
      </c>
    </row>
    <row r="33" spans="1:14" x14ac:dyDescent="0.3">
      <c r="A33" s="19">
        <v>16</v>
      </c>
      <c r="B33" s="27">
        <f>'Record Sheet'!C24</f>
        <v>0</v>
      </c>
      <c r="C33" s="27"/>
      <c r="D33" s="27"/>
      <c r="E33" s="13" t="str">
        <f>IF('Record Sheet'!C24="", "", 'Record Sheet'!AB24&amp;"%")</f>
        <v/>
      </c>
      <c r="F33" s="13" t="str">
        <f>IF('Record Sheet'!C24="", "", 'Record Sheet'!BA24&amp;"%")</f>
        <v/>
      </c>
      <c r="G33" s="13" t="str">
        <f>IF('Record Sheet'!C24="", "", 'Record Sheet'!BC24)</f>
        <v/>
      </c>
      <c r="H33" s="19">
        <v>46</v>
      </c>
      <c r="I33" s="27">
        <f>'Record Sheet'!C54</f>
        <v>0</v>
      </c>
      <c r="J33" s="27"/>
      <c r="K33" s="27"/>
      <c r="L33" s="13" t="str">
        <f>IF('Record Sheet'!C54="", "", 'Record Sheet'!AB54&amp;"%")</f>
        <v/>
      </c>
      <c r="M33" s="13" t="str">
        <f>IF('Record Sheet'!C54="", "", 'Record Sheet'!BA54&amp;"%")</f>
        <v/>
      </c>
      <c r="N33" s="13" t="str">
        <f>IF('Record Sheet'!C54="", "", 'Record Sheet'!BC54)</f>
        <v/>
      </c>
    </row>
    <row r="34" spans="1:14" x14ac:dyDescent="0.3">
      <c r="A34" s="19">
        <v>17</v>
      </c>
      <c r="B34" s="27">
        <f>'Record Sheet'!C25</f>
        <v>0</v>
      </c>
      <c r="C34" s="27"/>
      <c r="D34" s="27"/>
      <c r="E34" s="13" t="str">
        <f>IF('Record Sheet'!C25="", "", 'Record Sheet'!AB25&amp;"%")</f>
        <v/>
      </c>
      <c r="F34" s="13" t="str">
        <f>IF('Record Sheet'!C25="", "", 'Record Sheet'!BA25&amp;"%")</f>
        <v/>
      </c>
      <c r="G34" s="13" t="str">
        <f>IF('Record Sheet'!C25="", "", 'Record Sheet'!BC25)</f>
        <v/>
      </c>
      <c r="H34" s="19">
        <v>47</v>
      </c>
      <c r="I34" s="27">
        <f>'Record Sheet'!C55</f>
        <v>0</v>
      </c>
      <c r="J34" s="27"/>
      <c r="K34" s="27"/>
      <c r="L34" s="13" t="str">
        <f>IF('Record Sheet'!C55="", "", 'Record Sheet'!AB55&amp;"%")</f>
        <v/>
      </c>
      <c r="M34" s="13" t="str">
        <f>IF('Record Sheet'!C55="", "", 'Record Sheet'!BA55&amp;"%")</f>
        <v/>
      </c>
      <c r="N34" s="13" t="str">
        <f>IF('Record Sheet'!C55="", "", 'Record Sheet'!BC55)</f>
        <v/>
      </c>
    </row>
    <row r="35" spans="1:14" x14ac:dyDescent="0.3">
      <c r="A35" s="19">
        <v>18</v>
      </c>
      <c r="B35" s="27">
        <f>'Record Sheet'!C26</f>
        <v>0</v>
      </c>
      <c r="C35" s="27"/>
      <c r="D35" s="27"/>
      <c r="E35" s="13" t="str">
        <f>IF('Record Sheet'!C26="", "", 'Record Sheet'!AB26&amp;"%")</f>
        <v/>
      </c>
      <c r="F35" s="13" t="str">
        <f>IF('Record Sheet'!C26="", "", 'Record Sheet'!BA26&amp;"%")</f>
        <v/>
      </c>
      <c r="G35" s="13" t="str">
        <f>IF('Record Sheet'!C26="", "", 'Record Sheet'!BC26)</f>
        <v/>
      </c>
      <c r="H35" s="19">
        <v>48</v>
      </c>
      <c r="I35" s="27">
        <f>'Record Sheet'!C56</f>
        <v>0</v>
      </c>
      <c r="J35" s="27"/>
      <c r="K35" s="27"/>
      <c r="L35" s="13" t="str">
        <f>IF('Record Sheet'!C56="", "", 'Record Sheet'!AB56&amp;"%")</f>
        <v/>
      </c>
      <c r="M35" s="13" t="str">
        <f>IF('Record Sheet'!C56="", "", 'Record Sheet'!BA56&amp;"%")</f>
        <v/>
      </c>
      <c r="N35" s="13" t="str">
        <f>IF('Record Sheet'!C56="", "", 'Record Sheet'!BC56)</f>
        <v/>
      </c>
    </row>
    <row r="36" spans="1:14" x14ac:dyDescent="0.3">
      <c r="A36" s="19">
        <v>19</v>
      </c>
      <c r="B36" s="27">
        <f>'Record Sheet'!C27</f>
        <v>0</v>
      </c>
      <c r="C36" s="27"/>
      <c r="D36" s="27"/>
      <c r="E36" s="13" t="str">
        <f>IF('Record Sheet'!C27="", "", 'Record Sheet'!AB27&amp;"%")</f>
        <v/>
      </c>
      <c r="F36" s="13" t="str">
        <f>IF('Record Sheet'!C27="", "", 'Record Sheet'!BA27&amp;"%")</f>
        <v/>
      </c>
      <c r="G36" s="13" t="str">
        <f>IF('Record Sheet'!C27="", "", 'Record Sheet'!BC27)</f>
        <v/>
      </c>
      <c r="H36" s="19">
        <v>49</v>
      </c>
      <c r="I36" s="27">
        <f>'Record Sheet'!C57</f>
        <v>0</v>
      </c>
      <c r="J36" s="27"/>
      <c r="K36" s="27"/>
      <c r="L36" s="13" t="str">
        <f>IF('Record Sheet'!C57="", "", 'Record Sheet'!AB57&amp;"%")</f>
        <v/>
      </c>
      <c r="M36" s="13" t="str">
        <f>IF('Record Sheet'!C57="", "", 'Record Sheet'!BA57&amp;"%")</f>
        <v/>
      </c>
      <c r="N36" s="13" t="str">
        <f>IF('Record Sheet'!C57="", "", 'Record Sheet'!BC57)</f>
        <v/>
      </c>
    </row>
    <row r="37" spans="1:14" x14ac:dyDescent="0.3">
      <c r="A37" s="19">
        <v>20</v>
      </c>
      <c r="B37" s="27">
        <f>'Record Sheet'!C28</f>
        <v>0</v>
      </c>
      <c r="C37" s="27"/>
      <c r="D37" s="27"/>
      <c r="E37" s="13" t="str">
        <f>IF('Record Sheet'!C28="", "", 'Record Sheet'!AB28&amp;"%")</f>
        <v/>
      </c>
      <c r="F37" s="13" t="str">
        <f>IF('Record Sheet'!C28="", "", 'Record Sheet'!BA28&amp;"%")</f>
        <v/>
      </c>
      <c r="G37" s="13" t="str">
        <f>IF('Record Sheet'!C28="", "", 'Record Sheet'!BC28)</f>
        <v/>
      </c>
      <c r="H37" s="19">
        <v>50</v>
      </c>
      <c r="I37" s="27">
        <f>'Record Sheet'!C58</f>
        <v>0</v>
      </c>
      <c r="J37" s="27"/>
      <c r="K37" s="27"/>
      <c r="L37" s="13" t="str">
        <f>IF('Record Sheet'!C58="", "", 'Record Sheet'!AB58&amp;"%")</f>
        <v/>
      </c>
      <c r="M37" s="13" t="str">
        <f>IF('Record Sheet'!C58="", "", 'Record Sheet'!BA58&amp;"%")</f>
        <v/>
      </c>
      <c r="N37" s="13" t="str">
        <f>IF('Record Sheet'!C58="", "", 'Record Sheet'!BC58)</f>
        <v/>
      </c>
    </row>
    <row r="38" spans="1:14" x14ac:dyDescent="0.3">
      <c r="A38" s="19">
        <v>21</v>
      </c>
      <c r="B38" s="27">
        <f>'Record Sheet'!C29</f>
        <v>0</v>
      </c>
      <c r="C38" s="27"/>
      <c r="D38" s="27"/>
      <c r="E38" s="13" t="str">
        <f>IF('Record Sheet'!C29="", "", 'Record Sheet'!AB29&amp;"%")</f>
        <v/>
      </c>
      <c r="F38" s="13" t="str">
        <f>IF('Record Sheet'!C29="", "", 'Record Sheet'!BA29&amp;"%")</f>
        <v/>
      </c>
      <c r="G38" s="13" t="str">
        <f>IF('Record Sheet'!C29="", "", 'Record Sheet'!BC29)</f>
        <v/>
      </c>
      <c r="H38" s="19">
        <v>51</v>
      </c>
      <c r="I38" s="27">
        <f>'Record Sheet'!C59</f>
        <v>0</v>
      </c>
      <c r="J38" s="27"/>
      <c r="K38" s="27"/>
      <c r="L38" s="13" t="str">
        <f>IF('Record Sheet'!C59="", "", 'Record Sheet'!AB59&amp;"%")</f>
        <v/>
      </c>
      <c r="M38" s="13" t="str">
        <f>IF('Record Sheet'!C59="", "", 'Record Sheet'!BA59&amp;"%")</f>
        <v/>
      </c>
      <c r="N38" s="13" t="str">
        <f>IF('Record Sheet'!C59="", "", 'Record Sheet'!BC59)</f>
        <v/>
      </c>
    </row>
    <row r="39" spans="1:14" x14ac:dyDescent="0.3">
      <c r="A39" s="19">
        <v>22</v>
      </c>
      <c r="B39" s="27">
        <f>'Record Sheet'!C30</f>
        <v>0</v>
      </c>
      <c r="C39" s="27"/>
      <c r="D39" s="27"/>
      <c r="E39" s="13" t="str">
        <f>IF('Record Sheet'!C30="", "", 'Record Sheet'!AB30&amp;"%")</f>
        <v/>
      </c>
      <c r="F39" s="13" t="str">
        <f>IF('Record Sheet'!C30="", "", 'Record Sheet'!BA30&amp;"%")</f>
        <v/>
      </c>
      <c r="G39" s="13" t="str">
        <f>IF('Record Sheet'!C30="", "", 'Record Sheet'!BC30)</f>
        <v/>
      </c>
      <c r="H39" s="19">
        <v>52</v>
      </c>
      <c r="I39" s="27">
        <f>'Record Sheet'!C60</f>
        <v>0</v>
      </c>
      <c r="J39" s="27"/>
      <c r="K39" s="27"/>
      <c r="L39" s="13" t="str">
        <f>IF('Record Sheet'!C60="", "", 'Record Sheet'!AB60&amp;"%")</f>
        <v/>
      </c>
      <c r="M39" s="13" t="str">
        <f>IF('Record Sheet'!C60="", "", 'Record Sheet'!BA60&amp;"%")</f>
        <v/>
      </c>
      <c r="N39" s="13" t="str">
        <f>IF('Record Sheet'!C60="", "", 'Record Sheet'!BC60)</f>
        <v/>
      </c>
    </row>
    <row r="40" spans="1:14" x14ac:dyDescent="0.3">
      <c r="A40" s="19">
        <v>23</v>
      </c>
      <c r="B40" s="27">
        <f>'Record Sheet'!C31</f>
        <v>0</v>
      </c>
      <c r="C40" s="27"/>
      <c r="D40" s="27"/>
      <c r="E40" s="13" t="str">
        <f>IF('Record Sheet'!C31="", "", 'Record Sheet'!AB31&amp;"%")</f>
        <v/>
      </c>
      <c r="F40" s="13" t="str">
        <f>IF('Record Sheet'!C31="", "", 'Record Sheet'!BA31&amp;"%")</f>
        <v/>
      </c>
      <c r="G40" s="13" t="str">
        <f>IF('Record Sheet'!C31="", "", 'Record Sheet'!BC31)</f>
        <v/>
      </c>
      <c r="H40" s="19">
        <v>53</v>
      </c>
      <c r="I40" s="27">
        <f>'Record Sheet'!C61</f>
        <v>0</v>
      </c>
      <c r="J40" s="27"/>
      <c r="K40" s="27"/>
      <c r="L40" s="13" t="str">
        <f>IF('Record Sheet'!C61="", "", 'Record Sheet'!AB61&amp;"%")</f>
        <v/>
      </c>
      <c r="M40" s="13" t="str">
        <f>IF('Record Sheet'!C61="", "", 'Record Sheet'!BA61&amp;"%")</f>
        <v/>
      </c>
      <c r="N40" s="13" t="str">
        <f>IF('Record Sheet'!C61="", "", 'Record Sheet'!BC61)</f>
        <v/>
      </c>
    </row>
    <row r="41" spans="1:14" x14ac:dyDescent="0.3">
      <c r="A41" s="19">
        <v>24</v>
      </c>
      <c r="B41" s="27">
        <f>'Record Sheet'!C32</f>
        <v>0</v>
      </c>
      <c r="C41" s="27"/>
      <c r="D41" s="27"/>
      <c r="E41" s="13" t="str">
        <f>IF('Record Sheet'!C32="", "", 'Record Sheet'!AB32&amp;"%")</f>
        <v/>
      </c>
      <c r="F41" s="13" t="str">
        <f>IF('Record Sheet'!C32="", "", 'Record Sheet'!BA32&amp;"%")</f>
        <v/>
      </c>
      <c r="G41" s="13" t="str">
        <f>IF('Record Sheet'!C32="", "", 'Record Sheet'!BC32)</f>
        <v/>
      </c>
      <c r="H41" s="19">
        <v>54</v>
      </c>
      <c r="I41" s="27">
        <f>'Record Sheet'!C62</f>
        <v>0</v>
      </c>
      <c r="J41" s="27"/>
      <c r="K41" s="27"/>
      <c r="L41" s="13" t="str">
        <f>IF('Record Sheet'!C62="", "", 'Record Sheet'!AB62&amp;"%")</f>
        <v/>
      </c>
      <c r="M41" s="13" t="str">
        <f>IF('Record Sheet'!C62="", "", 'Record Sheet'!BA62&amp;"%")</f>
        <v/>
      </c>
      <c r="N41" s="13" t="str">
        <f>IF('Record Sheet'!C62="", "", 'Record Sheet'!BC62)</f>
        <v/>
      </c>
    </row>
    <row r="42" spans="1:14" x14ac:dyDescent="0.3">
      <c r="A42" s="19">
        <v>25</v>
      </c>
      <c r="B42" s="27">
        <f>'Record Sheet'!C33</f>
        <v>0</v>
      </c>
      <c r="C42" s="27"/>
      <c r="D42" s="27"/>
      <c r="E42" s="13" t="str">
        <f>IF('Record Sheet'!C33="", "", 'Record Sheet'!AB33&amp;"%")</f>
        <v/>
      </c>
      <c r="F42" s="13" t="str">
        <f>IF('Record Sheet'!C33="", "", 'Record Sheet'!BA33&amp;"%")</f>
        <v/>
      </c>
      <c r="G42" s="13" t="str">
        <f>IF('Record Sheet'!C33="", "", 'Record Sheet'!BC33)</f>
        <v/>
      </c>
      <c r="H42" s="19">
        <v>55</v>
      </c>
      <c r="I42" s="27">
        <f>'Record Sheet'!C63</f>
        <v>0</v>
      </c>
      <c r="J42" s="27"/>
      <c r="K42" s="27"/>
      <c r="L42" s="13" t="str">
        <f>IF('Record Sheet'!C63="", "", 'Record Sheet'!AB63&amp;"%")</f>
        <v/>
      </c>
      <c r="M42" s="13" t="str">
        <f>IF('Record Sheet'!C63="", "", 'Record Sheet'!BA63&amp;"%")</f>
        <v/>
      </c>
      <c r="N42" s="13" t="str">
        <f>IF('Record Sheet'!C63="", "", 'Record Sheet'!BC63)</f>
        <v/>
      </c>
    </row>
    <row r="43" spans="1:14" x14ac:dyDescent="0.3">
      <c r="A43" s="19">
        <v>26</v>
      </c>
      <c r="B43" s="27">
        <f>'Record Sheet'!C34</f>
        <v>0</v>
      </c>
      <c r="C43" s="27"/>
      <c r="D43" s="27"/>
      <c r="E43" s="13" t="str">
        <f>IF('Record Sheet'!C34="", "", 'Record Sheet'!AB34&amp;"%")</f>
        <v/>
      </c>
      <c r="F43" s="13" t="str">
        <f>IF('Record Sheet'!C34="", "", 'Record Sheet'!BA34&amp;"%")</f>
        <v/>
      </c>
      <c r="G43" s="13" t="str">
        <f>IF('Record Sheet'!C34="", "", 'Record Sheet'!BC34)</f>
        <v/>
      </c>
      <c r="H43" s="19">
        <v>56</v>
      </c>
      <c r="I43" s="27">
        <f>'Record Sheet'!C64</f>
        <v>0</v>
      </c>
      <c r="J43" s="27"/>
      <c r="K43" s="27"/>
      <c r="L43" s="13" t="str">
        <f>IF('Record Sheet'!C64="", "", 'Record Sheet'!AB64&amp;"%")</f>
        <v/>
      </c>
      <c r="M43" s="13" t="str">
        <f>IF('Record Sheet'!C64="", "", 'Record Sheet'!BA64&amp;"%")</f>
        <v/>
      </c>
      <c r="N43" s="13" t="str">
        <f>IF('Record Sheet'!C64="", "", 'Record Sheet'!BC64)</f>
        <v/>
      </c>
    </row>
    <row r="44" spans="1:14" x14ac:dyDescent="0.3">
      <c r="A44" s="19">
        <v>27</v>
      </c>
      <c r="B44" s="27">
        <f>'Record Sheet'!C35</f>
        <v>0</v>
      </c>
      <c r="C44" s="27"/>
      <c r="D44" s="27"/>
      <c r="E44" s="13" t="str">
        <f>IF('Record Sheet'!C35="", "", 'Record Sheet'!AB35&amp;"%")</f>
        <v/>
      </c>
      <c r="F44" s="13" t="str">
        <f>IF('Record Sheet'!C35="", "", 'Record Sheet'!BA35&amp;"%")</f>
        <v/>
      </c>
      <c r="G44" s="13" t="str">
        <f>IF('Record Sheet'!C35="", "", 'Record Sheet'!BC35)</f>
        <v/>
      </c>
      <c r="H44" s="19">
        <v>57</v>
      </c>
      <c r="I44" s="27">
        <f>'Record Sheet'!C65</f>
        <v>0</v>
      </c>
      <c r="J44" s="27"/>
      <c r="K44" s="27"/>
      <c r="L44" s="13" t="str">
        <f>IF('Record Sheet'!C65="", "", 'Record Sheet'!AB65&amp;"%")</f>
        <v/>
      </c>
      <c r="M44" s="13" t="str">
        <f>IF('Record Sheet'!C65="", "", 'Record Sheet'!BA65&amp;"%")</f>
        <v/>
      </c>
      <c r="N44" s="13" t="str">
        <f>IF('Record Sheet'!C65="", "", 'Record Sheet'!BC65)</f>
        <v/>
      </c>
    </row>
    <row r="45" spans="1:14" x14ac:dyDescent="0.3">
      <c r="A45" s="19">
        <v>28</v>
      </c>
      <c r="B45" s="27">
        <f>'Record Sheet'!C36</f>
        <v>0</v>
      </c>
      <c r="C45" s="27"/>
      <c r="D45" s="27"/>
      <c r="E45" s="13" t="str">
        <f>IF('Record Sheet'!C36="", "", 'Record Sheet'!AB36&amp;"%")</f>
        <v/>
      </c>
      <c r="F45" s="13" t="str">
        <f>IF('Record Sheet'!C36="", "", 'Record Sheet'!BA36&amp;"%")</f>
        <v/>
      </c>
      <c r="G45" s="13" t="str">
        <f>IF('Record Sheet'!C36="", "", 'Record Sheet'!BC36)</f>
        <v/>
      </c>
      <c r="H45" s="19">
        <v>58</v>
      </c>
      <c r="I45" s="27">
        <f>'Record Sheet'!C66</f>
        <v>0</v>
      </c>
      <c r="J45" s="27"/>
      <c r="K45" s="27"/>
      <c r="L45" s="13" t="str">
        <f>IF('Record Sheet'!C66="", "", 'Record Sheet'!AB66&amp;"%")</f>
        <v/>
      </c>
      <c r="M45" s="13" t="str">
        <f>IF('Record Sheet'!C66="", "", 'Record Sheet'!BA66&amp;"%")</f>
        <v/>
      </c>
      <c r="N45" s="13" t="str">
        <f>IF('Record Sheet'!C66="", "", 'Record Sheet'!BC66)</f>
        <v/>
      </c>
    </row>
    <row r="46" spans="1:14" x14ac:dyDescent="0.3">
      <c r="A46" s="19">
        <v>29</v>
      </c>
      <c r="B46" s="27">
        <f>'Record Sheet'!C37</f>
        <v>0</v>
      </c>
      <c r="C46" s="27"/>
      <c r="D46" s="27"/>
      <c r="E46" s="13" t="str">
        <f>IF('Record Sheet'!C37="", "", 'Record Sheet'!AB37&amp;"%")</f>
        <v/>
      </c>
      <c r="F46" s="13" t="str">
        <f>IF('Record Sheet'!C37="", "", 'Record Sheet'!BA37&amp;"%")</f>
        <v/>
      </c>
      <c r="G46" s="13" t="str">
        <f>IF('Record Sheet'!C37="", "", 'Record Sheet'!BC37)</f>
        <v/>
      </c>
      <c r="H46" s="19">
        <v>59</v>
      </c>
      <c r="I46" s="27">
        <f>'Record Sheet'!C67</f>
        <v>0</v>
      </c>
      <c r="J46" s="27"/>
      <c r="K46" s="27"/>
      <c r="L46" s="13" t="str">
        <f>IF('Record Sheet'!C67="", "", 'Record Sheet'!AB67&amp;"%")</f>
        <v/>
      </c>
      <c r="M46" s="13" t="str">
        <f>IF('Record Sheet'!C67="", "", 'Record Sheet'!BA67&amp;"%")</f>
        <v/>
      </c>
      <c r="N46" s="13" t="str">
        <f>IF('Record Sheet'!C67="", "", 'Record Sheet'!BC67)</f>
        <v/>
      </c>
    </row>
    <row r="47" spans="1:14" x14ac:dyDescent="0.3">
      <c r="A47" s="19">
        <v>30</v>
      </c>
      <c r="B47" s="27">
        <f>'Record Sheet'!C38</f>
        <v>0</v>
      </c>
      <c r="C47" s="27"/>
      <c r="D47" s="27"/>
      <c r="E47" s="13" t="str">
        <f>IF('Record Sheet'!C38="", "", 'Record Sheet'!AB38&amp;"%")</f>
        <v/>
      </c>
      <c r="F47" s="13" t="str">
        <f>IF('Record Sheet'!C38="", "", 'Record Sheet'!BA38&amp;"%")</f>
        <v/>
      </c>
      <c r="G47" s="13" t="str">
        <f>IF('Record Sheet'!C38="", "", 'Record Sheet'!BC38)</f>
        <v/>
      </c>
      <c r="H47" s="19">
        <v>60</v>
      </c>
      <c r="I47" s="27">
        <f>'Record Sheet'!C68</f>
        <v>0</v>
      </c>
      <c r="J47" s="27"/>
      <c r="K47" s="27"/>
      <c r="L47" s="13" t="str">
        <f>IF('Record Sheet'!C68="", "", 'Record Sheet'!AB68&amp;"%")</f>
        <v/>
      </c>
      <c r="M47" s="13" t="str">
        <f>IF('Record Sheet'!C68="", "", 'Record Sheet'!BA68&amp;"%")</f>
        <v/>
      </c>
      <c r="N47" s="13" t="str">
        <f>IF('Record Sheet'!C68="", "", 'Record Sheet'!BC68)</f>
        <v/>
      </c>
    </row>
  </sheetData>
  <mergeCells count="74">
    <mergeCell ref="B47:D47"/>
    <mergeCell ref="I46:K46"/>
    <mergeCell ref="L8:O8"/>
    <mergeCell ref="E7:I7"/>
    <mergeCell ref="B31:D31"/>
    <mergeCell ref="I36:K36"/>
    <mergeCell ref="B46:D46"/>
    <mergeCell ref="B22:D22"/>
    <mergeCell ref="I27:K27"/>
    <mergeCell ref="I45:K45"/>
    <mergeCell ref="B18:D18"/>
    <mergeCell ref="B27:D27"/>
    <mergeCell ref="I26:K26"/>
    <mergeCell ref="B21:D21"/>
    <mergeCell ref="B43:D43"/>
    <mergeCell ref="L10:O10"/>
    <mergeCell ref="B45:D45"/>
    <mergeCell ref="B41:D41"/>
    <mergeCell ref="B32:D32"/>
    <mergeCell ref="B35:D35"/>
    <mergeCell ref="B26:D26"/>
    <mergeCell ref="B39:D39"/>
    <mergeCell ref="I44:K44"/>
    <mergeCell ref="B24:D24"/>
    <mergeCell ref="I29:K29"/>
    <mergeCell ref="B20:D20"/>
    <mergeCell ref="B33:D33"/>
    <mergeCell ref="I38:K38"/>
    <mergeCell ref="B36:D36"/>
    <mergeCell ref="I31:K31"/>
    <mergeCell ref="I34:K34"/>
    <mergeCell ref="I40:K40"/>
    <mergeCell ref="I30:K30"/>
    <mergeCell ref="B25:D25"/>
    <mergeCell ref="I25:K25"/>
    <mergeCell ref="B37:D37"/>
    <mergeCell ref="I42:K42"/>
    <mergeCell ref="E10:I10"/>
    <mergeCell ref="I23:K23"/>
    <mergeCell ref="I39:K39"/>
    <mergeCell ref="B40:D40"/>
    <mergeCell ref="I17:K17"/>
    <mergeCell ref="B30:D30"/>
    <mergeCell ref="I35:K35"/>
    <mergeCell ref="I20:K20"/>
    <mergeCell ref="I19:K19"/>
    <mergeCell ref="I14:J14"/>
    <mergeCell ref="M13:O13"/>
    <mergeCell ref="L6:O6"/>
    <mergeCell ref="I43:K43"/>
    <mergeCell ref="E14:F14"/>
    <mergeCell ref="I18:K18"/>
    <mergeCell ref="I21:K21"/>
    <mergeCell ref="M12:O12"/>
    <mergeCell ref="L11:O11"/>
    <mergeCell ref="I33:K33"/>
    <mergeCell ref="I24:K24"/>
    <mergeCell ref="E6:I6"/>
    <mergeCell ref="I41:K41"/>
    <mergeCell ref="B42:D42"/>
    <mergeCell ref="I47:K47"/>
    <mergeCell ref="I32:K32"/>
    <mergeCell ref="E12:I12"/>
    <mergeCell ref="I22:K22"/>
    <mergeCell ref="B23:D23"/>
    <mergeCell ref="I28:K28"/>
    <mergeCell ref="I37:K37"/>
    <mergeCell ref="B17:D17"/>
    <mergeCell ref="B44:D44"/>
    <mergeCell ref="B29:D29"/>
    <mergeCell ref="B38:D38"/>
    <mergeCell ref="B34:D34"/>
    <mergeCell ref="B28:D28"/>
    <mergeCell ref="B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Subject Profile</vt:lpstr>
      <vt:lpstr>Record Sheet</vt:lpstr>
      <vt:lpstr>Report of 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CHRISTIAN GABRIEL</cp:lastModifiedBy>
  <dcterms:created xsi:type="dcterms:W3CDTF">2026-05-26T07:26:03Z</dcterms:created>
  <dcterms:modified xsi:type="dcterms:W3CDTF">2026-05-26T07:37:29Z</dcterms:modified>
</cp:coreProperties>
</file>